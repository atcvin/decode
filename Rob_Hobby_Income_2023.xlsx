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rludwig\Downloads\Stuff\2022\"/>
    </mc:Choice>
  </mc:AlternateContent>
  <xr:revisionPtr revIDLastSave="0" documentId="13_ncr:1_{546BF7A1-771D-496F-A2FD-D117699EA5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 Sales" sheetId="5" r:id="rId1"/>
    <sheet name="eBay Sales" sheetId="3" r:id="rId2"/>
    <sheet name="PayPal Sal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23" i="3" l="1"/>
  <c r="E423" i="3"/>
  <c r="D423" i="3"/>
  <c r="B2" i="5" s="1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423" i="3" l="1"/>
  <c r="E82" i="4" l="1"/>
  <c r="F82" i="4"/>
  <c r="D82" i="4"/>
  <c r="B4" i="5" s="1"/>
  <c r="C673" i="3" l="1"/>
  <c r="D673" i="3" l="1"/>
  <c r="B6" i="5" l="1"/>
</calcChain>
</file>

<file path=xl/sharedStrings.xml><?xml version="1.0" encoding="utf-8"?>
<sst xmlns="http://schemas.openxmlformats.org/spreadsheetml/2006/main" count="1015" uniqueCount="425">
  <si>
    <t>Date</t>
  </si>
  <si>
    <t>Type</t>
  </si>
  <si>
    <t>Gross</t>
  </si>
  <si>
    <t>Fee</t>
  </si>
  <si>
    <t>Net</t>
  </si>
  <si>
    <t>TOTAL:</t>
  </si>
  <si>
    <t>Mass Pay Payment</t>
  </si>
  <si>
    <t>Sale Date</t>
  </si>
  <si>
    <t>Item title</t>
  </si>
  <si>
    <t>Sale</t>
  </si>
  <si>
    <t>Honda Recon 250 ES Clutch Cover 2002-2020 Front TRX250 Make Offer</t>
  </si>
  <si>
    <t>Kawasaki KFX450R Tail Light Brake OEM KFX 450R Fits All Years Tested</t>
  </si>
  <si>
    <t>Honda ATC125M TRX125 Primary And Centrifugal Clutch 1986 1987 1988 Change Wet</t>
  </si>
  <si>
    <t>Polaris 300 400L Tie Rods For Parts 1994 1995 1996 1997 Ends Xpress Magnum</t>
  </si>
  <si>
    <t>Yamaha Blaster 200 Front Fender Bracket 1988-2006 Stay Make Offer</t>
  </si>
  <si>
    <t>Yamaha Blaster 200 OEM Carburetor 1988-2002 Mikuni Carb TORS Switch Make Offer</t>
  </si>
  <si>
    <t>Yamaha Blaster 200 OEM Reed Valve 1988-2006 Reeds Intake Joint Carburetor Boot</t>
  </si>
  <si>
    <t>TOTALS:</t>
  </si>
  <si>
    <t>eBay Gross Sales</t>
  </si>
  <si>
    <t>Total Sales</t>
  </si>
  <si>
    <t>Name</t>
  </si>
  <si>
    <t>Tradebit</t>
  </si>
  <si>
    <t>General Payment</t>
  </si>
  <si>
    <t>Mobile Payment</t>
  </si>
  <si>
    <t>PayPal Gross Sales</t>
  </si>
  <si>
    <t>Facebook Payments Inc.</t>
  </si>
  <si>
    <t>Website Payment</t>
  </si>
  <si>
    <t>Ben Foxford</t>
  </si>
  <si>
    <t>Joshua Leday</t>
  </si>
  <si>
    <t>Alex Knox</t>
  </si>
  <si>
    <t>Anthony Rodriguez</t>
  </si>
  <si>
    <t>Jamie Templet</t>
  </si>
  <si>
    <t>Dean VivoAmore</t>
  </si>
  <si>
    <t>Common Scents on the Farm</t>
  </si>
  <si>
    <t>Donna Salto</t>
  </si>
  <si>
    <t>Kellie Rome</t>
  </si>
  <si>
    <t>Justine Basley</t>
  </si>
  <si>
    <t>Joshua Rabideau</t>
  </si>
  <si>
    <t>mark broten</t>
  </si>
  <si>
    <t>Christopher Tilton</t>
  </si>
  <si>
    <t>Juan Quiñones</t>
  </si>
  <si>
    <t>Allen Mathieu</t>
  </si>
  <si>
    <t>Alan Lee Erway</t>
  </si>
  <si>
    <t>Taylor Perry</t>
  </si>
  <si>
    <t>Hanny Qawasmy</t>
  </si>
  <si>
    <t>Meta Pay</t>
  </si>
  <si>
    <t>Polaris 350L 4x4 Wiring Harness 1993 Rectifier Reverse Limiter Trail Boss</t>
  </si>
  <si>
    <t>Yamaha Blaster 200 OEM Complete Clutch 1988-2006 Basket Boss Make Offer</t>
  </si>
  <si>
    <t>Polaris 350L Chain Guard 1990-1993 Cover Trail Boss Big Make Offer</t>
  </si>
  <si>
    <t>Polaris Predator 500 Foot Pegs 2003 2004 2005 Heel Guard Left Right Make Offer</t>
  </si>
  <si>
    <t>Honda ATC250SX Cylinder Piston 1985 1986 1987 Stock Bore 74MM Make Offer</t>
  </si>
  <si>
    <t>Polaris 250 350L 400L Gas Tank Bracket 1991-2006 Fuel Trail Boss Blazer Sport</t>
  </si>
  <si>
    <t>Suzuki LT125 LT185 Thumb Throttle 1983-1987 Kill Switch ALT125 Make Offer</t>
  </si>
  <si>
    <t>Suzuki Eiger 400 Miscellaneous Hardware Lot Bolts Mounts Make Offer</t>
  </si>
  <si>
    <t>Polaris Predator 500 OEM Handlebars 2003 2004 2005 Bars Make Offer</t>
  </si>
  <si>
    <t>Yamaha Blaster 200 Rear Fender Bracket 1988-2006 Stay Make Offer</t>
  </si>
  <si>
    <t>Yamaha Blaster 200 Shift Shaft 1988-2006 Shifter Make Offer</t>
  </si>
  <si>
    <t>Honda ATC125M TRX125 Stator Cover 1986 1987 1988 For Repair Left Side Magneto</t>
  </si>
  <si>
    <t>Polaris 350L Front Brake Lines 1988-1995 Hose Trail Boss Big Blazer Make Offer</t>
  </si>
  <si>
    <t>Polaris Predator 500 Right Side A-Arms 2003 Upper Lower Make Offer</t>
  </si>
  <si>
    <t>Honda Fourtrax 300 OEM Carburetor 1988 1989 1990 Keihin Carb VE90A TRX300</t>
  </si>
  <si>
    <t>Suzuki LT125 LT185 Rear Brake Lever 1983-1987 ALT125 ALT185 Parking Left Side</t>
  </si>
  <si>
    <t>Polaris 250 350L Inner Clutch Cover 1993-1995 Trail Boss Big Blazer Make Offer</t>
  </si>
  <si>
    <t>Honda ATC250ES Big Red 250 Kick Start Spindle 1985-1987 Idle Gear ATC250SX</t>
  </si>
  <si>
    <t>Honda Foreman 450 ES Headlight Bracket Case Speedometer 1998-2004 Make Offer</t>
  </si>
  <si>
    <t>PetStop OT-200 In-Ground Dog Fence Transmitter Pet Stop Containment Boundary 200</t>
  </si>
  <si>
    <t>Yamaha Blaster 200 OEM Flywheel 1988-2006 Rotor Fly Wheel Magneto Make Offer</t>
  </si>
  <si>
    <t>Polaris Predator 500 Motor Mounts 2003 Bolts Tank Frame Brackets Make Offer</t>
  </si>
  <si>
    <t>Yamaha Timberwolf 250 Rear Differential Guard 1994-2000 Skid Plate Transfer Stay</t>
  </si>
  <si>
    <t>Polaris 350L Miscellaneous Hardware Parts Lot Bolts Washers Make Offer</t>
  </si>
  <si>
    <t>Yamaha Blaster 200 OEM Rear Axle Hubs 1988-2006 Right Left Collar Make Offer</t>
  </si>
  <si>
    <t>Yamaha Blaster 200 Rear Shock 1988-2006 Strut Absorber Make Offer</t>
  </si>
  <si>
    <t>Polaris Predator 500 Rear Subframe 2003 Sub Frame Battery Holder Make Offer</t>
  </si>
  <si>
    <t>Honda TRX125 Valve Springs Retainers 1987 1988 XR200R ATC200X ATC185S</t>
  </si>
  <si>
    <t>Honda TRX125 Flywheel Starter Gear 1987 1988 Rotor One-Way Bearing Make Offer</t>
  </si>
  <si>
    <t>Polaris 350L 400L Radiator 1990-1996 Hoses Trail Boss Sportsman Sport Make Offer</t>
  </si>
  <si>
    <t>Polaris 350L 400L Downtube 1990-1995 Intake Tube Coolant Reservoir Trail Boss</t>
  </si>
  <si>
    <t>Arctic Cat 250 300 Utility 2x4 Yoke Joint 2006-2019 U-Joint Alterra Make Offer</t>
  </si>
  <si>
    <t>Honda ATC125M TRX125 Timing Chain Tensioner 1984 1985 1986 Cam Sprocket Spring</t>
  </si>
  <si>
    <t>Honda Recon 250 ES Gear Position Sensor 2005-2020 Change Switch TRX250</t>
  </si>
  <si>
    <t>Honda Recon 250 Transmission 2002-2007 Gears Drum Forks Shaft TRX250 Make Offer</t>
  </si>
  <si>
    <t>Suzuki Eiger 400 Rear Differential Guard 2003-2019 KingQuad Skidplate Protector</t>
  </si>
  <si>
    <t>Yamaha Blaster 200 Complete Transmission 1988-2006 Gears Forks Drum Balancer</t>
  </si>
  <si>
    <t>Little Tikes Vintage Play Food Picnic Basket Juice Syrup Salsa Tacos Chips</t>
  </si>
  <si>
    <t>Yamaha Blaster 200 OEM Stator 1990-2002 Magneto Base Make Offer</t>
  </si>
  <si>
    <t>Polaris 350L Stator 1990-1993 Trail Boss 350 Magneto Make Offer</t>
  </si>
  <si>
    <t>Cool World Super Nintendo SNES Complete Box Manual Poster Nice Shape</t>
  </si>
  <si>
    <t>Yamaha Blaster 200 Dura Blue Rear Axle 1988-2002 Durablue Drive Make Offer</t>
  </si>
  <si>
    <t>Polaris Predator 500 OEM CDI Box 2003 2004 ECU Computer Make Offer</t>
  </si>
  <si>
    <t>Suzuki Eiger 400 Steering Shaft 2003-2007 Stem Make Offer</t>
  </si>
  <si>
    <t>Honda ATC125M ATC110 Gear Shift Pedal 1984 1985 Shifter Lever Make Offer</t>
  </si>
  <si>
    <t>Polaris 350L 400L Air Tubes 1990-1997 Ducts Inlet Outlet Trail Boss Big</t>
  </si>
  <si>
    <t>Super Mario World Game Watch Nelsonic Tested With Instructions Box New Battery</t>
  </si>
  <si>
    <t>StarFox Game Watch Nelsonic 1993 Tested With Instructions New Battery Star Fox</t>
  </si>
  <si>
    <t>Honda ATC125M TRX125 Transmission 1986 1987 1988 Gears Forks Drum Make Offer</t>
  </si>
  <si>
    <t>Honda ATC250SX Crankshaft 1985 Balancer Crank ATC250ES Big Red 250 Make Offer</t>
  </si>
  <si>
    <t>Polaris 250 300 350L 400 Handlebar Cover Clamp Many Models Trail Boss Big</t>
  </si>
  <si>
    <t>Honda ATC125M Clutch Cover 1983-1986 Right Case ATC110 TRX125 Make Offer</t>
  </si>
  <si>
    <t>Yamaha Blaster 200 Banshee 350 Chain Pullers All Years Tensioners Make Offer</t>
  </si>
  <si>
    <t>Polaris 350L Stator Cover 1990-1993 Left Side Trail Boss 350 Magneto Make Offer</t>
  </si>
  <si>
    <t>Honda ATC125M TRX125 Cylinder Head 1985 1986 Camshaft Cover Make Offer</t>
  </si>
  <si>
    <t>Kawasaki Bayou 220 OEM CDI Box 1988–1995 Igniter ECU Tested Denso Make Offer</t>
  </si>
  <si>
    <t>Yamaha Blaster 200 Swingarm 1988-2006 Rear Skid Plate Make Offer</t>
  </si>
  <si>
    <t>Kawasaki Bayou 220 250 Front Cover All Years Black Fender Make Offer</t>
  </si>
  <si>
    <t>Yamaha Blaster Warrior Gas Tank Bolts Collars Fuel Breeze Make Offer</t>
  </si>
  <si>
    <t>Polaris 250 350L Rear Brake Pedal 1991-1993 Lever Rod Trail Boss 350 Make Offer</t>
  </si>
  <si>
    <t>Yamaha Timberwolf 250 Engine Cases 1992-1996 Motor Crankcase Left Right</t>
  </si>
  <si>
    <t>Polaris Predator 500 Front Right Knuckle 2003 2004 Spindle Make Offer</t>
  </si>
  <si>
    <t>Paper Mario: The Thousand-Year Door Nintendo GameCube Complete Original Tested</t>
  </si>
  <si>
    <t>Honda Recon 250 Camshaft 2002-2020 Pushrods Followers Cam Caps Buckets TRX250</t>
  </si>
  <si>
    <t>Yamaha Blaster 200 Steering Stem 1988-2002 Shaft Post Make Offer</t>
  </si>
  <si>
    <t>Mario Kart Wii Nintendo Disc Only Tested</t>
  </si>
  <si>
    <t>Yamaha Timberwolf 250 Foot Pegs 1992 1993 Rest Left Right Plate Make Offer</t>
  </si>
  <si>
    <t>Honda Recon 250 Headpipe 2002-2020 Exhaust Header TRX250 Make Offer</t>
  </si>
  <si>
    <t>Kawasaki Bayou 220 Handlebar Cover 1988-1994 Black</t>
  </si>
  <si>
    <t>Kawasaki Bayou 220 250 Rear Driveshaft All Years Propeller Tube Boot Make Offer</t>
  </si>
  <si>
    <t>Kawasaki Bayou 220 Combo Switch OEM 1988-1994 Kill Starter Left Side Make Offer</t>
  </si>
  <si>
    <t>Kawasaki Bayou 220 250 Left Rear Wheel Hub 1988-2011 Axle Make Offer</t>
  </si>
  <si>
    <t>Kawasaki Bayou 220 Main Wiring Harness 1991-1995 For Repair Make Offer</t>
  </si>
  <si>
    <t>Kawasaki Bayou 220 Headlights 1988-1991 Sockets Lamp Right Left Make Offer</t>
  </si>
  <si>
    <t>Kawasaki KFX700 Rear Foot Brake Pedal Cable 2004-2009 Lever Make Offer</t>
  </si>
  <si>
    <t>Honda ATC125M Left Side Spacer 1984 1985 Cover Crankcase ATC 125M Make Offer</t>
  </si>
  <si>
    <t>Honda ATC125M Recoil Pulley 1984 1985 1986 Starter Catch ATC200M ATC200ES</t>
  </si>
  <si>
    <t>2019 Chevrolet Silverado Owners Manual New Chevy</t>
  </si>
  <si>
    <t>Yamaha Blaster 200 Transmission 1988-2006 Gears Forks Drum Balancer Make Offer</t>
  </si>
  <si>
    <t>Honda ATC125M Spark Advancer 1984 1985 Pulse Generator ATC 125M Make Offer</t>
  </si>
  <si>
    <t>Kawasaki Bayou 220 250 Thumb Throttle 1988-2011 Cable Lever Make Offer</t>
  </si>
  <si>
    <t>Polaris 250 350L Shift Linkage 1989-1993 Rod Trail Boss Big Blazer Make Offer</t>
  </si>
  <si>
    <t>Polaris 250 350L 400L Swingarm Pivot Bolts 1988-1999 Trail Boss Blazer Sport</t>
  </si>
  <si>
    <t>Kawasaki Bayou 220 250 Front Shocks 1988-2011 Absorbers Struts Make Offer</t>
  </si>
  <si>
    <t>Honda Civic CR-V Haynes Service Repair Manual 2001-2010 Shop</t>
  </si>
  <si>
    <t>Kawasaki Bayou 220 Airbox 1988-2002 Parts Or Repair Air Box Filter Make Offer</t>
  </si>
  <si>
    <t>Kawasaki Bayou 220 250 Seat 1988-2011 Pan Foam Black Make Offer</t>
  </si>
  <si>
    <t>Kawasaki Bayou 220 250 Gas Tank Cover 1988-2011 Black Fuel Make Offer</t>
  </si>
  <si>
    <t>Kawasaki Bayou 220 250 Reverse Knob Cable 1988-2011 Lever Make Offer</t>
  </si>
  <si>
    <t>Yamaha Timberwolf 250 Gas Tank Cover 1992-2000 Fuel Teal Make Offer</t>
  </si>
  <si>
    <t>Kawasaki Bayou 220 250 Rear Rack 1988-2011 Carrier Grab Bar Make Offer</t>
  </si>
  <si>
    <t>Kawasaki Bayou 220 250 Front Rack 1988-2011 Carrier Make Offer</t>
  </si>
  <si>
    <t>Kawasaki Bayou 220 250 Handlebars 1989-2005 Handle Bars Make Offer</t>
  </si>
  <si>
    <t>Kawasaki Bayou 220 250 Front Hubs 1988-2011 Knuckle Drum Spindle Right Left</t>
  </si>
  <si>
    <t>Kawasaki Bayou 220 250 Rear Hand Brake 1988-2011 Cable Lever Make Offer</t>
  </si>
  <si>
    <t>Kawasaki Bayou 220 Flywheel Gear 1988-1995 Rotor Generator Make Offer</t>
  </si>
  <si>
    <t>Arctic Cat 250 Utility DVX Cylinder Head 2006-2009 Cam Camshaft DVX250 Make Offe</t>
  </si>
  <si>
    <t>Kawasaki Bayou 220 250 Rebuilt Recoil Starter 1988-2011 Pull Start Make Offer</t>
  </si>
  <si>
    <t>Kawasaki Bayou 220 OEM Carburetor 1988-1991 Mikuni Make Offer</t>
  </si>
  <si>
    <t>Suzuki ALT125 LT125 Light Switch 1983-1987 Make Offer</t>
  </si>
  <si>
    <t>Kawasaki Bayou 220 Cylinder 1988-2002 Stock Bore 67mm Piston Jug Make Offer</t>
  </si>
  <si>
    <t>Kawasaki Bayou 220 250 Clutch Cover 1988-2011 Right Side Case Make Offer</t>
  </si>
  <si>
    <t>Kawasaki Bayou 220 250 Oil Pump 1988-2005 Gear Screen Make Offer</t>
  </si>
  <si>
    <t>Kawasaki Bayou 220 Stator 1988-1991 Generator Magneto Left Cover Make Offer</t>
  </si>
  <si>
    <t>Kawasaki Bayou 220 250 Cylinder Head 1988-2011 Camshaft New Valve Seals</t>
  </si>
  <si>
    <t>Honda ATC125M Cylinder Piston 1984 1985 1986 Stock Bore 55MM TRX125 Make Offer</t>
  </si>
  <si>
    <t>Kawasaki Bayou 220 250 Motor Mounts 1988-2011 Engine Brackets Bolts Incomplete</t>
  </si>
  <si>
    <t>Kawasaki Bayou 220 250 Front Brake Cables 1988-2011 Lever Cable Box Equalizer</t>
  </si>
  <si>
    <t>Kawasaki Bayou 220 250 Seat Latch 1988-2011 Cable Make Offer</t>
  </si>
  <si>
    <t>Kawasaki Bayou 220 Oil Delivery Pipes 1988-2002 Pipe Banjo Bolts Make Offer</t>
  </si>
  <si>
    <t>Kawasaki Bayou 220 250 Timing Chain Tensioner 1988-2011 Right Left Cam</t>
  </si>
  <si>
    <t>Kawasaki Bayou 220 250 Centrifugal Clutch Drum 1988-2011 Wet Make Offer</t>
  </si>
  <si>
    <t>Kawasaki Bayou 220 Bottom End 1988-2002 Cases Crankshaft Transmission Make Offer</t>
  </si>
  <si>
    <t>Honda TRX250EX Transmission 2001 2002 2003 2004 2005 Gears Forks Drum Make Offer</t>
  </si>
  <si>
    <t>Honda TRX250EX Gas Tank 2001 2002 2003 2004 2005 Fuel Sportrax 250 Make Offer</t>
  </si>
  <si>
    <t>Kawasaki Bayou 220 250 Gas Tank 1988-2007 Fuel Petcock Make Offer</t>
  </si>
  <si>
    <t>Kawasaki Bayou 220 250 Footrests Pegs 1988-2011 Heel Guards Foot Rest Make Offer</t>
  </si>
  <si>
    <t>Polaris 350L 400L Headpipe 1991-1997 Manifold Trail Boss Sport Sportsman</t>
  </si>
  <si>
    <t xml:space="preserve">Honda TRX250EX Flywheel 2002-2020 Rotor One-Way Clutch Starter Gear Make Offer </t>
  </si>
  <si>
    <t>Honda TRX250EX OEM Combo Switch 2001 2002 2003 2004 2005 Kill Left Make Offer</t>
  </si>
  <si>
    <t>Honda TRX250EX Foot Pegs 2001-2020 Step TRX250X Bolts Right Left Make Offer</t>
  </si>
  <si>
    <t>Kawasaki Bayou 220 Shift Shaft 1988-1995 Foot Lever Shifter Reverse</t>
  </si>
  <si>
    <t>Honda TRX250EX Left A-Arms 2001-2005 Upper Lower Make Offer</t>
  </si>
  <si>
    <t>Honda Fourtrax 350 Steering Stem Shaft Bar Clamps 1986 TRX350</t>
  </si>
  <si>
    <t>Honda TRX250EX Fender Brackets 2001 2002 2003 2004 2005 Stay Front Rear</t>
  </si>
  <si>
    <t>Honda TRX250EX Timing Chain 1997-2020 Recon 250 Tensioner Cam Arm Guide TRX250X</t>
  </si>
  <si>
    <t>Honda TRX250EX OEM Rear Shock 2001 2002 2003 2004 2005 Absorber Make Offer</t>
  </si>
  <si>
    <t>Honda TRX250EX Primary Clutch 1997-2020 Gear Change Recon 250 TRX250X Make Offer</t>
  </si>
  <si>
    <t>Kawasaki Bayou 220 250 Rear Brake Drum 1988-2011 Right Shoes Panel Make Offer</t>
  </si>
  <si>
    <t>Kawasaki Bayou 220 250 Starter Idle Limiter Gear 1988-2011 Gears Make Offer</t>
  </si>
  <si>
    <t>Honda TRX250EX Wiring Harness 2001 2002 2003 2004 2005 Parts Or Repair</t>
  </si>
  <si>
    <t>Honda TRX250EX Wet Clutch 1990-2014 Centrifugal Drum TRX200 Recon 250 Make Offer</t>
  </si>
  <si>
    <t>Honda TRX250EX OEM Stator With Rear Cover 1997-2005 Recon 250 Magneto Make Offer</t>
  </si>
  <si>
    <t>Honda TRX250EX Right A-Arms 2001-2014 Upper Lower Make Offer</t>
  </si>
  <si>
    <t>Polaris 350L 4x4 Transmission 1990-1993 Gearcase Trail Boss Big 6x6 Rotor ME35P1</t>
  </si>
  <si>
    <t>Honda TRX250EX Handlebar Cover 1997-2004 Recon 250 Lights Dash Make Offer</t>
  </si>
  <si>
    <t>Suzuki Eiger 400 Trunk 2003-2007 Rear Tool Box Toolbox Make Offer</t>
  </si>
  <si>
    <t>Kawasaki Bayou 220 250 Starter Motor 1988-2011 Electric Tested Make Offer</t>
  </si>
  <si>
    <t>Honda TRX250EX Right Side Cover 2001 2002 2003 2004 2005 Panel Make Offer</t>
  </si>
  <si>
    <t>Honda Thumb Throttle Recon Rancher Foreman TRX250EX TRX300EX Many Models</t>
  </si>
  <si>
    <t>Honda TRX250EX Tie Rods 1997-2020 Recon 250 Left Right TRX250X Make Offer</t>
  </si>
  <si>
    <t>Honda TRX250EX Oil Pump 1997-2014 Chain Gear Recon 250 Make Offer</t>
  </si>
  <si>
    <t>Honda TRX250EX Rear Grab Bar 2001 2002 2003 2004 2005 Bumper Carrier Make Offer</t>
  </si>
  <si>
    <t>Yamaha Banshee 350 Rear Axle Carrier 1989-2006 Bearings Hub Make Offer</t>
  </si>
  <si>
    <t>Honda TRX250EX Airbox 1997-2020 Recon 250 Snorkel Air Cleaner Pipe Make Offer</t>
  </si>
  <si>
    <t>Honda TRX250EX Headlight 2001-2005 Head Light Shroud Cover Sportrax Make Offer</t>
  </si>
  <si>
    <t>Kawasaki Bayou 300 Differential Lock 1986-2004 Diff Rear Holder Make Offer</t>
  </si>
  <si>
    <t>Honda TRX250EX OEM Front Shocks 2001 2002 2003 2004 2005 Absorbers Left Right</t>
  </si>
  <si>
    <t>Honda TRX125 Battery Box 1987 1988 Holder Mount Make Offer</t>
  </si>
  <si>
    <t>Honda TRX250EX Gas Tank Cover 2001 2002 2003 2004 2005 Red Fuel Make Offer</t>
  </si>
  <si>
    <t>Polaris 350L 400L Gas Tank Cover 1993 1994 Fuel Trail Boss Big Shroud Make Offer</t>
  </si>
  <si>
    <t>Honda Rancher 350 Starter Idle Gears Reverse 2000-2006 Limit Reduction</t>
  </si>
  <si>
    <t>Honda TRX250EX Front Hubs Knuckles 2001 2002 2003 2004 2005 Right Left Rotor</t>
  </si>
  <si>
    <t>Honda TRX250EX Oil Cooler 2001-2007 Recon 250 Hoses Lines Radiator Make Offer</t>
  </si>
  <si>
    <t>Kawasaki Bayou 220 Rear Differential 1990 1991 Final Drive Gear Make Offer</t>
  </si>
  <si>
    <t>Kawasaki Bayou 220 250 Cylinder Head Bolts 1988-2011 Make Offer</t>
  </si>
  <si>
    <t>Kawasaki Bayou 220 250 Steering Stem 1988-2011 Shaft Make Offer</t>
  </si>
  <si>
    <t>Honda TRX250EX Rear Differential 2001-2007 Parts Repair Final Drive Ring Gear</t>
  </si>
  <si>
    <t>Honda TRX250EX Wiring Harness 2001 2002 2003 2004 2005 Rectifier Make Offer</t>
  </si>
  <si>
    <t>Honda TRX250EX Left Side Cover 2001 2002 2003 2004 2005 Panel Make Offer</t>
  </si>
  <si>
    <t>Kawasaki Mojave 250 Rear Brake Caliper 1987 Parts Or Repair Master Cylinder</t>
  </si>
  <si>
    <t>Kawasaki Bayou 220 250 Rear Brake Foot Pedal 1988-2011 Cable Lever Make Offer</t>
  </si>
  <si>
    <t>Honda TRX250EX Niche Cylinder Kit 1997-2016 Recon 250 Piston Make Offer</t>
  </si>
  <si>
    <t>Honda TRX250EX Rear Brake Panel 1997-2020 Cover Shoes Arm Recon 250 Make Offer</t>
  </si>
  <si>
    <t>Honda TRX250EX Rear Hand Brake Lever 1997-2005 Recon 250 Cable Reverse Left</t>
  </si>
  <si>
    <t>Honda TRX250EX Cylinder Head 2001-2014 Cover Rocker Box Recon 250 Make Offer</t>
  </si>
  <si>
    <t>Honda TRX250EX Right A-Arms 2001-2005 Upper Lower Make Offer</t>
  </si>
  <si>
    <t>Honda TRX250EX Seat 2001-2005 Needs Cover Black Make Offer</t>
  </si>
  <si>
    <t>Honda ATC125M TRX125 Timing Chain Tensioner 1986-1988 Cam Lifter Guides Fourtrax</t>
  </si>
  <si>
    <t>Honda CR125R FMF Power Core Muffler 1990-1997 Silencer PowerCore Make Offer</t>
  </si>
  <si>
    <t>Honda CR125R Frame 1991-1992 CR125 Main Ross White Make Offer</t>
  </si>
  <si>
    <t>Kawasaki Bayou 220 250 Rear Grab Bar 1988-2011 Guard Make Offer</t>
  </si>
  <si>
    <t>Honda TRX250EX Camshaft 2001-2020 Pushrods Followers Cam Caps Buckets</t>
  </si>
  <si>
    <t>Honda CR125R CDI Box 1991 CR125 Ignition Control Module ECU Denso 070000-2130</t>
  </si>
  <si>
    <t>Honda CR125R OEM Crankshaft 1990-2004 CR125 Crank Make Offer</t>
  </si>
  <si>
    <t>Kawasaki Bayou 220 250 A-Arms 1988-2011 Control Left Right Make Offer</t>
  </si>
  <si>
    <t>Honda TRX250EX Rear Brake Drum 2001-2021 TRX250X Make Offer</t>
  </si>
  <si>
    <t>New OEM Stihl 12" Chainsaw Bar 3005 000 3905 Pole Pruner Sprocket 3/8 12 in</t>
  </si>
  <si>
    <t>Honda CR125R Clutch Lifter 1987-2007 CR125 Actuator Push Rod Ball Make Offer</t>
  </si>
  <si>
    <t>Honda TRX250EX Headpipe 2001 2002 2003 2004 2005 Exhaust Head Pipe Make Offer</t>
  </si>
  <si>
    <t>Honda CR125R Airbox 1991 CR125 Gray Air Box Cleaner Boot Make Offer</t>
  </si>
  <si>
    <t>Kawasaki Bayou 220 Primary Clutch Complete 1988-2002 Change Make Offer</t>
  </si>
  <si>
    <t>Honda TRX250EX Rear Drive Axle 2001-2020 Final Shaft Make Offer</t>
  </si>
  <si>
    <t>Kawasaki Bayou 300 Rear Drive Axles 1988-2004 Axle Shafts Left Right Make Offer</t>
  </si>
  <si>
    <t>Honda TRX250EX Rear Driveshaft 1997-2020 Propeller Recon 250 Yoke U-Joint Shaft</t>
  </si>
  <si>
    <t>Honda Swingarm Pivot Bolts Caps Many Models Rancher Recon Foreman Fourtrax 300</t>
  </si>
  <si>
    <t>Honda TRX250EX Clutch Cover 2001-2019 Recon 250 Front Make Offer</t>
  </si>
  <si>
    <t>Honda TRX250EX OEM Combo Switch 2001-2005 Kill Lights Starter Left Make Offer</t>
  </si>
  <si>
    <t>Honda CR125R Clutch 1987-1999 CR125 Basket Pressure Plate Make Offer</t>
  </si>
  <si>
    <t>Honda CR125R Rear Shock 1991 Parts Or Repair CR125 KYB Absorber Cushion</t>
  </si>
  <si>
    <t>Honda CR125R Subframe 1991-1992 CR125 CR250 CR500 Ross White Make Offer</t>
  </si>
  <si>
    <t>Honda TRX250EX Rear Brake Pedal 1997-2005 Recon 250 Cable Lever Step Make Offer</t>
  </si>
  <si>
    <t>Honda CR125R Rear Brakes 1990-1992 Parts Repair Caliper Master CR125 CR250 CR500</t>
  </si>
  <si>
    <t>Honda CR125R Power Valve Governor 1990 1991 1992 CR125 Actuator Arm Tie Rod</t>
  </si>
  <si>
    <t>Honda Recon 250 Gas Tank Heat Shield 2007-2014 Fuel Cross Plate Mount TRX250</t>
  </si>
  <si>
    <t>Honda CR125R Kickstarter 1989-1997 Kick Start Arm Lever Make Offer</t>
  </si>
  <si>
    <t>Honda TRX250EX Rear Brake Cables 1997-2005 Recon 250 Reverse Left Hand Foot</t>
  </si>
  <si>
    <t>Kawasaki Bayou 220 Front Wheels 1988-1994 Left Right White 9x6 Make Offer</t>
  </si>
  <si>
    <t>Honda CR125R CR250R Triple Trees 1990 1991 Steering Stem Clamp Make Offer</t>
  </si>
  <si>
    <t>Kawasaki Bayou 220 250 Front Fender Brackets 1988-2011 Stay Right Left</t>
  </si>
  <si>
    <t>Yamaha Banshee 350 Rear Drive Sprocket 1987-2006 Blaster 200 Collar Make Offer</t>
  </si>
  <si>
    <t>Honda TRX125 OEM Front Wheels 1987 1988 Right Left 8x6 Make Offer</t>
  </si>
  <si>
    <t>Honda CR125R Kick Start Ratchet 1987-1999 CR125 Spindle Kickstarter Gears</t>
  </si>
  <si>
    <t>Honda TRX250EX OEM Muffler 2001-2014 Exhaust Pipe TRX250X Make Offer</t>
  </si>
  <si>
    <t>DynoJet Jet Kit Yamaha Warrior 350 1993-2004 Q406 New In Box Carburetor Dyno Jet</t>
  </si>
  <si>
    <t>Honda CR125R CR250R Swingarm Pivot Bolt 1988-2001 CR500R Make Offer</t>
  </si>
  <si>
    <t>Honda TRX250EX Swingarm 2001-2014 Swing Arm Boot TRX250X Make Offer</t>
  </si>
  <si>
    <t>Polaris ATV Wheel Hub Dust Caps Predator Sportsman Scrambler Trail Blazer Boss</t>
  </si>
  <si>
    <t>Honda TRX250EX Crankcase 2002-2020 Recon 250 Motor Center  Front Rear Cases</t>
  </si>
  <si>
    <t>Honda CR125R Complete Transmission 1991 CR125 Gears Forks Shift Shaft 6-Speed</t>
  </si>
  <si>
    <t>Honda CR125R CR250R Front Wheel Axle 1990-1991 CR500R Bolt Collars Make Offer</t>
  </si>
  <si>
    <t>Honda TRX125 Front Axle 1987 1988 Knuckle Pipe Assembly Fourtrax 125</t>
  </si>
  <si>
    <t>Honda CR125R Front Forks 1991 Showa Left Right Make Offer</t>
  </si>
  <si>
    <t>Suzuki LT80 Rear Axle 1987-2006 Drive Sprocket KFX80 LT 80 KFX</t>
  </si>
  <si>
    <t>Honda CR125R Front Brakes 1990-1991 Parts Repair Caliper Master CR125 CR250 500</t>
  </si>
  <si>
    <t>Suzuki LT80 Cooling Duct 1987-2006 Tube Left Side KFX80 LT 80 KFX Make Offer</t>
  </si>
  <si>
    <t>Honda CR125R Foot Pegs 1988-1994 CR125 CR250 CR500 Left Right Step Make Offer</t>
  </si>
  <si>
    <t>Polaris 250 300 350L 400L Rear Fender Supports 1991-2001 Brackets Left Right</t>
  </si>
  <si>
    <t>Suzuki LT80 Steering Stem Clamp 1987-2006 Holder Bar Clamps KFX80 LT 80 KFX</t>
  </si>
  <si>
    <t>Polaris Predator 500 OEM Axle Carrier 2003-2010 Rear Housing Outlaw 450 525</t>
  </si>
  <si>
    <t>Suzuki LT80 Skid Plate 1987-2006 Rear Under Guard KFX80 LT 80 KFX Make Offer</t>
  </si>
  <si>
    <t>Suzuki LT80 Airbox 1987-2006 Air Cleaner Canister KFX80 LT 80 KFX Make Offer</t>
  </si>
  <si>
    <t>Suzuki LT80 Combo Switch 1987-2006 Left Kill Starter KFX80 LT 80 KFX Make Offer</t>
  </si>
  <si>
    <t>Honda ATC125M TRX125 Starter Idle Gears 1984 1985 1986 Limit Reduction</t>
  </si>
  <si>
    <t>Suzuki LT80 Front Fender Bracket 1987-2006 Support Brace Bar KFX80 LT 80 KFX</t>
  </si>
  <si>
    <t>Honda CR125R CR250R Rear Shock Linkage 1991 CR500R Cushion Arm Make Offer</t>
  </si>
  <si>
    <t>Honda TRX250EX OEM Cylinder 2001-2020 Core Stock Bore 68.5MM TRX250X Make Offer</t>
  </si>
  <si>
    <t>Polaris 250 350L Skid Plate 1991-1993 Rock Guard Trail Boss Big 350 Make Offer</t>
  </si>
  <si>
    <t>Suzuki LT80 Rear Brake Pedal 1987-2006 Lever Cable KFX80 LT 80 KFX Make Offer</t>
  </si>
  <si>
    <t>Suzuki LT80 Reed Valve 1987-2006 Reeds Intake KFX80 LT 80 KFX Make Offer</t>
  </si>
  <si>
    <t>Honda CR125R CR250R Front Number Plate 1990 1991 CR500R Side Covers Make Offer</t>
  </si>
  <si>
    <t>Honda ATC125M TRX125 Motor Cases 1986 1987 1988 Engine Crankcase Left Right</t>
  </si>
  <si>
    <t>Honda CR125R Stator Flywheel 1990 1991 Magneto Generator Denso CR125 Make Offer</t>
  </si>
  <si>
    <t>Suzuki LT80 Clutch Fixed Drive Face 1987-2006 Sheave KFX80 LT 80 KFX Make Offer</t>
  </si>
  <si>
    <t>Honda CR125R Clutch Cover 1990-1994 Right Side Inner Outer Water Pump Make Offer</t>
  </si>
  <si>
    <t>Suzuki LT80 OEM Carburetor 1987-2006 Carb Mikuni KFX80 LT 80 KFX Make Offer</t>
  </si>
  <si>
    <t>Honda ATC125M Stator 1984 1985 Magneto Left Cover Alternator ATC 125M Make Offer</t>
  </si>
  <si>
    <t>Honda Recon 250 Differential Guard 2007-2020 Skid Plate TRX250EX TRX250X</t>
  </si>
  <si>
    <t>Suzuki LT80 Muffler 1987-2006 Exhaust Silencer Body KFX80 LT 80 KFX Make Offer</t>
  </si>
  <si>
    <t>Suzuki LT80 Oil Injection Tank 1987-2006 Hoses KFX80 LT 80 KFX Make Offer</t>
  </si>
  <si>
    <t>Suzuki LT80 Airbox Top 1987-2006 Lid Air Cleaner KFX80 LT 80 KFX Make Offer</t>
  </si>
  <si>
    <t>Suzuki Eiger 400 Upper Motor Mount 2003-2007 Bracket Engine Make Offer</t>
  </si>
  <si>
    <t>Yamaha Timberwolf 250 Oil Pump 1987-2009 Bruin Big Bear Tracker Make Offer</t>
  </si>
  <si>
    <t>Suzuki LT80 OEM Rear Shock 1987-2006 Shock Absorber KFX80 LT 80 KFX Make Offer</t>
  </si>
  <si>
    <t>Suzuki LT80 Rear Axle Carrier 1987-2006 Brake Drum Housing KFX80 LT 80 KFX</t>
  </si>
  <si>
    <t>Honda Recon 250 Starter Gears 2003-2020 TRX250EX Idle Reduction Make Offer</t>
  </si>
  <si>
    <t>Suzuki LT80 Seat 1987-2006 Pan Foam Needs Cover KFX80 LT 80 KFX Make Offer</t>
  </si>
  <si>
    <t>Suzuki LT80 OEM Gas Tank 1987-2006 Fuel Blue Petcock KFX80 LT 80 KFX</t>
  </si>
  <si>
    <t>Honda ATC125M TRX125 Oil Pump 1984 1985 1986 Rotor Fourtrax 125 Make Offer</t>
  </si>
  <si>
    <t>Suzuki LT80 Primary Drive Clutch 1987-2006 Front KFX80 LT 80 KFX Make Offer</t>
  </si>
  <si>
    <t>Yamaha Warrior 350 Rear Grab Bar 1996-2004 Bumper Make Offer</t>
  </si>
  <si>
    <t>Yamaha Warrior 350 Thumb Throttle 1993-2004 Cable Make Offer</t>
  </si>
  <si>
    <t>Suzuki LT80 Clutch Cover 1987-2006 Clutch Left Side KFX80 LT 80 KFX Make Offer</t>
  </si>
  <si>
    <t>Suzuki LT80 Thumb Throttle 1987-2006 Front Brake Lever KFX80 LT 80 KFX</t>
  </si>
  <si>
    <t>Yamaha Warrior 350 Reverse Shifter 1987-2004 Parts Or Repair Lever Selector</t>
  </si>
  <si>
    <t>Honda Recon 250 Muffler Mounts 1997-2020 Rubber TRX250EX Make Offer</t>
  </si>
  <si>
    <t>Suzuki LT80 New Right Heel Guard 1987-2006 Fender Cover KFX80 LT 80 KFX</t>
  </si>
  <si>
    <t>Honda CR125R CR250R Rear Wheel Axle 1987-2001 CR500R Bolt Chain Pullers Collars</t>
  </si>
  <si>
    <t>Yamaha Warrior 350 Headpipe 1987-2013 Exhaust Header Raptor Make Offer</t>
  </si>
  <si>
    <t>Honda CR125R Crankcase 1990 1991 1992 CR125 Left Right Cases Make Offer</t>
  </si>
  <si>
    <t>Yamaha Warrior 350 Seat 1987-2004 Needs Cover Pan Make Offer</t>
  </si>
  <si>
    <t>Suzuki LT80 OEM Cylinder Head 1987-2006 KFX80 LT 80 KFX Make Offer</t>
  </si>
  <si>
    <t>Suzuki LT80 Fenders 1987-2006 Front Rear Yellow Plastic KFX80 LT 80 KFX</t>
  </si>
  <si>
    <t>Yamaha Warrior 350 Large Axle Nuts 1988-2004 Hub Castle Make Offer</t>
  </si>
  <si>
    <t>Honda TRX250EX Crankcase 2001 2002 Motor Center Front Rear Cases Right Left</t>
  </si>
  <si>
    <t>Yamaha Warrior 350 Rear Axle Hubs 1987-2021 Banshee Raptor YFZ450</t>
  </si>
  <si>
    <t>Yamaha Warrior 350 Handlebar Cover 1989-2001 Guard Protector Make Offer</t>
  </si>
  <si>
    <t>Suzuki LT80 Transmission 1987-2006 Gears Final Drive Shaft Cover KFX80 LT 80 KFX</t>
  </si>
  <si>
    <t>Suzuki LT80 Front Bumper 1987-2006 Guard Grip Bar KFX80 LT 80 KFX Make Offer</t>
  </si>
  <si>
    <t>Yamaha Warrior 350 Front Fender Stay 1987-2004 Bracket Make Offer</t>
  </si>
  <si>
    <t>Yamaha Warrior 350 Front Shocks 1987-2004 Red Struts Make Offer</t>
  </si>
  <si>
    <t>Yamaha Warrior 350 OEM Muffler 1987-2004 Exhaust Pipe Make Offer</t>
  </si>
  <si>
    <t>Polaris Predator 500 OEM Starter 2003-2007 Electric Outlaw Starting Mitsuba</t>
  </si>
  <si>
    <t>Yamaha Warrior 350 Swingarm Pivot Bolt 1987-2013 Shaft Raptor Make Offer</t>
  </si>
  <si>
    <t>Yamaha Warrior 350 Cylinder Head Bolts 1987-2013 Flange Raptor Make Offer</t>
  </si>
  <si>
    <t>Kawasaki Bayou 220 250 Front Bevel Gear 1988-2011 Output Shaft Transfer Case</t>
  </si>
  <si>
    <t>Yamaha Warrior 350 Front Brake Calipers 1987-2004 Master Lines Make Offer</t>
  </si>
  <si>
    <t>Suzuki LT80 Left Right Front A-Arms Hubs 1987-2006 Brake Drums</t>
  </si>
  <si>
    <t>Yamaha Banshee 350 Rear Brake Rotor 1987-2006 Hub Disc Bracket Make Offer</t>
  </si>
  <si>
    <t>Yamaha Warrior 350 Tie Rods 1987-2013 Parts Or Repair Make Offer</t>
  </si>
  <si>
    <t>Yamaha Warrior 350 Pegs 1990-2004 Heel Guards Make Offer</t>
  </si>
  <si>
    <t>Yamaha Warrior 350 Flywheel 1990-2001 Rotor Starter Gear One-Way Clutch</t>
  </si>
  <si>
    <t>Polaris Predator 500 Balancer 2003 Balance Shaft Make Offer</t>
  </si>
  <si>
    <t>Yamaha Warrior 350 Handlebars 1987-2001 OEM Handle Bars Make Offer</t>
  </si>
  <si>
    <t>Yamaha Warrior 350 Rear Chain Sprocket 1989-2004 Axle Collar Hub Make Offer</t>
  </si>
  <si>
    <t>Suzuki LT80 Cooling Fan Cover 1987-2006 Hose Yellow KFX80 LT 80 KFX Make Offer</t>
  </si>
  <si>
    <t>Yamaha Warrior 350 Carb To Airbox Intake Boot 1987-2004 Tube Joint Duct Air</t>
  </si>
  <si>
    <t>Honda ATC110 Rear Fender Catch 1979-1982 Support Bracket Hinge Make Offer</t>
  </si>
  <si>
    <t>Yamaha Warrior 350 Lower Left A-Arm 1989-2004 Good Ball Joint Control Make Offer</t>
  </si>
  <si>
    <t>Yamaha Warrior 350 Lower Right A-Arm 1989-2004 Good Ball Joint Control</t>
  </si>
  <si>
    <t>Dayco HP2003 Drive Belt 1987-1999 Polaris ATV Most Models Make Offer</t>
  </si>
  <si>
    <t>Yamaha Warrior 350 Transmission 1987-2013 Gears Forks Shafts Raptor Make Offer</t>
  </si>
  <si>
    <t>Honda ATC90 ATC110 Recoil Starter Parts 1970-1980 Pull Start Make Offer</t>
  </si>
  <si>
    <t>Yamaha Warrior Banshee 350 Front Wheel Hubs 1990-2006 Raptor Rotors Make Offer</t>
  </si>
  <si>
    <t>Yamaha Warrior Banshee 350 Spindles 1990-2006 Front Knuckles Make Offer</t>
  </si>
  <si>
    <t>Yamaha Warrior Banshee 350 OEM Front Wheel All Years Gold 10x6 Rim Make Offer</t>
  </si>
  <si>
    <t>Honda ATC110 Rear Rack Hondaline 1979-1982 Cargo Luggage Carrier ATC 110</t>
  </si>
  <si>
    <t>Kawasaki Bayou 220 250 Rear Axle Pipes 1988-2011 Right Left Tubes Hitch</t>
  </si>
  <si>
    <t>Honda TRX250EX Miscellaneous Bolt Lot Recon 250 Hardware Bolts Make Offer</t>
  </si>
  <si>
    <t>Suzuki LT80 Starter Gear 1987-2006 Clutch Crank Idler KFX80 LT 80 KFX Make Offer</t>
  </si>
  <si>
    <t>Yamaha Warrior 350 OEM CDI Box 1996 Unit ECU Make Offer</t>
  </si>
  <si>
    <t>Honda ATC125M TRX125 Crankshaft 1984 1985 1986 Crank Make Offer</t>
  </si>
  <si>
    <t>Polaris 250 300 350L 400L Trailer Hitch Many Models Trail Blazer Boss</t>
  </si>
  <si>
    <t>Honda ATC110 Front Axle 1982 1983 1984 1985 Hub Shaft Housing ATC 110 Make Offer</t>
  </si>
  <si>
    <t>Yamaha Warrior 350 Clutch Cover 1990-2013 Right Side Raptor Make Offer</t>
  </si>
  <si>
    <t>Honda ATC90 ATC110 Toolbox 1970-1983 Tool Box ATC 90 110 Make Offer</t>
  </si>
  <si>
    <t>Honda ATC110 Rear Axle Carrier 1979-1983 Bearing Holder ATC 110 Make Offer</t>
  </si>
  <si>
    <t>Yamaha Warrior Banshee 350 Taillight 1987-2001 Bracket Blaster 200 Tail Light</t>
  </si>
  <si>
    <t>Yamaha Warrior 350 Gas Tank Cover 1987-2004 Blue Top Make Offer</t>
  </si>
  <si>
    <t>Yamaha Warrior 350 Airbox 1987-2005 K&amp;N Filter Wolverine Intake Make Offer</t>
  </si>
  <si>
    <t>Honda ATC110 Wiring Harness 1982 Parts Or Repair Wire Loom ATC 110 Make Offer</t>
  </si>
  <si>
    <t>Yamaha Warrior 350 Stator Cover 1989-2013 Magneto Raptor Adaptor Make Offer</t>
  </si>
  <si>
    <t>Honda ATC110 Recoil Starter 1981-1983 Pull Start Rebuilt Make Offer</t>
  </si>
  <si>
    <t>Yamaha Warrior 350 Gas Tank 1987-2004 Fuel Make Offer</t>
  </si>
  <si>
    <t>Yamaha Warrior 350 Upper Left A-Arm 1989-2003 Good Ball Joint Control Make Offer</t>
  </si>
  <si>
    <t>Yamaha Warrior 350 OEM Wiring Harness 1996 Parts Or Repair Coil Rectifier</t>
  </si>
  <si>
    <t>Yamaha Timberwolf 250 Front Upper Mudflaps 1994-2000 Splash Guard Left Right</t>
  </si>
  <si>
    <t>Yamaha Warrior 350 Front Bumper 1990-2004 Guard Carry Bar Make Offer</t>
  </si>
  <si>
    <t>Yamaha Warrior 350 Miscellaneous Bolt Lot All Years Hardware Bolts Make Offer</t>
  </si>
  <si>
    <t>Yamaha Warrior 350 Clutch Lever 1992-1996 Cable Parking Brake Make Offer</t>
  </si>
  <si>
    <t>Honda ATC110 Chain Tensioner 1982 1983 Tensioner Arm Lock Guide ATC 110</t>
  </si>
  <si>
    <t>Yamaha Warrior 350 Complete Clutch 1987-2013 Raptor Basket Hub Make Offer</t>
  </si>
  <si>
    <t>Honda ATC110 Rear Drive Axle 1979-1983 Sprocket Hub ATC 110 Make Offer</t>
  </si>
  <si>
    <t>Yamaha Warrior 350 Front Brake Calipers 1989-2004 Master Cylinder Lines Hoses</t>
  </si>
  <si>
    <t>GMC Acadia Buick Enclave Haynes Repair Manual Chevy Traverse Shop 2007-2013</t>
  </si>
  <si>
    <t>Yamaha Blaster 200 Stator Cover 1988-2006 Left Side Magneto Flywheel Make Offer</t>
  </si>
  <si>
    <t>Honda ATC110 Stator 1982 1983 1984 Parts Repair Magneto Alternator ATC 110</t>
  </si>
  <si>
    <t>Polaris 350L Front Brake Calipers 1991-1995 Parts Repair Trail Boss Make Offer</t>
  </si>
  <si>
    <t>Polaris Predator 500 Swingarm 2003 Guard Skid Plate Swing Arm Bolt Make Offer</t>
  </si>
  <si>
    <t>Yamaha Blaster 200 Airbox Intake Boot 1988-2006 Joint Carburetor Make Offer</t>
  </si>
  <si>
    <t>Yamaha Blaster 200 OEM Rear Grab Bar 1995-2001 Carry Bumper Guard Make Offer</t>
  </si>
  <si>
    <t>Honda TRX125 Front Left Inner Fender 1987 1988 Splash Guard Make Offer</t>
  </si>
  <si>
    <t>Kawasaki Bayou 300 Primary Clutch 1986 1987 Change Basket Hub Make Offer</t>
  </si>
  <si>
    <t>Yamaha Blaster 200 OEM Clutch Lever Cable 1988-2002 Make Offer</t>
  </si>
  <si>
    <t>Yamaha Blaster 200 Complete Fender Set 1996 Black Purple Plastics Front Rear</t>
  </si>
  <si>
    <t>Yamaha Blaster 200 Headlight 1988-2002 Glass Lens Guard Make Offer</t>
  </si>
  <si>
    <t>Yamaha Blaster 200 Handlebar Cover 1988-2002 Ignition Keys Protector Make Offer</t>
  </si>
  <si>
    <t>Honda ATC110 Seat Latch 1979-1982 Catch Lever Lock Spring ATC 110 Make Offer</t>
  </si>
  <si>
    <t>Yamaha Blaster 200 OEM Front Bumper 1988-2006 Carry Bar Make Offer</t>
  </si>
  <si>
    <t>Yamaha Blaster 200 Thumb Throttle For Parts 1995-2006 Banshee 350 Make Offer</t>
  </si>
  <si>
    <t>Yamaha Blaster 200 Clutch Cover 1988-2006 Oil Pump Right Side Make Offer</t>
  </si>
  <si>
    <t>Yamaha Blaster 200 OEM Handlebars 1987-2001 Banshee 350 Bars Make Offer</t>
  </si>
  <si>
    <t>Yamaha Blaster 200 OEM Rear Brake Caliper 1988-2002 Pads Make Offer</t>
  </si>
  <si>
    <t>Yamaha Blaster 200 OEM Crankshaft 1988-2006 Crank Gears Balancer Make Offer</t>
  </si>
  <si>
    <t>2020 Salt River Bay U. S. Virgin Islands "W" (West Point) mint mark V75 Privy</t>
  </si>
  <si>
    <t>Honda ATC110 Motor Mount Bolts 1979-1985 Hanger Engine ATC 110 Make Offer</t>
  </si>
  <si>
    <t>Yamaha Blaster 200 OEM Cylinder Head 1988-2006 Dome Make Offer</t>
  </si>
  <si>
    <t>Honda ATC110 Front Rear Wheel 1982 1983 Split Rim Inner Outer 4 Lug ATC 110 185s</t>
  </si>
  <si>
    <t>Suzuki LT80 Rear Axle Hubs 1987-2006 Left Right Wheel KFX80 LT 80 KFX</t>
  </si>
  <si>
    <t>Yamaha Blaster 200 Shift Shaft 1988-2006 Lever Foot Shifter Make Offer</t>
  </si>
  <si>
    <t>Yamaha Blaster 200 Transmission 1988-2006 Gears Forks Shift Drum Make Offer</t>
  </si>
  <si>
    <t>Yamaha Blaster 200 OEM Rear Shock 1988-2006 Strut Yellow Make Offer</t>
  </si>
  <si>
    <t>Yamaha Blaster 200 Clutch Basket 1988-2006 Inner Outer Hub Boss Make Offer</t>
  </si>
  <si>
    <t>Honda ATC110 Seat Pan 1979-1982 Trim Piece ATC 110 Make Offer</t>
  </si>
  <si>
    <t>Yamaha Blaster 200 Miscellaneous Bolt Lot 1988-2006 Hardware Bolts Make Offer</t>
  </si>
  <si>
    <t>Yamaha Warrior 350 Timing Chain Tensioner 1987-2013 Cam Guides Raptor Make Offer</t>
  </si>
  <si>
    <t>Suzuki LT80 Miscellaneous Bolt Lot 1987-2006 Hardware Bolts KFX80 LT 80</t>
  </si>
  <si>
    <t>Yamaha Blaster 200 Front Hubs Drums 1988-2002 Wheels Spindles Make Offer</t>
  </si>
  <si>
    <t>Honda ATC110 Clutch 1979-1983 Primary Driven Gear ATC 110 Make Offer</t>
  </si>
  <si>
    <t>Yamaha Blaster 200 Kick Start Ratchet 1988-2006 Kickstarter Gear Spring Idle</t>
  </si>
  <si>
    <t>Honda ATC110 Rubber Foot Rests 1981 1982 Pegs Pads Cushions ATC 110 Make Offer</t>
  </si>
  <si>
    <t>Yamaha Blaster 200 OEM Front Brake Lever Cables 1988-2002 Splitter Make Offer</t>
  </si>
  <si>
    <t>Yamaha Blaster 200 Upper Lower A-Arms 1988-2002 Left Right Make Offer</t>
  </si>
  <si>
    <t>Yamaha Blaster 200 Swingarm 1988-2006 Rear Swing Arm Make Offer</t>
  </si>
  <si>
    <t>Yamaha Blaster 200 Crankcase All Years Crank Case Engine Cases Motor Left Right</t>
  </si>
  <si>
    <t>Yamaha Warrior 350 Rear Brake Pedal 1987-2001 Shifter Parts Repair Make Offer</t>
  </si>
  <si>
    <t>Yamaha Blaster 200 OEM Swingarm Pivot Bolt 1988-2006 Shaft Make Offer</t>
  </si>
  <si>
    <t>Yamaha Blaster 200 OEM Rear Chain Sprocket 1988-2006 Hub Drive Collar Make Offer</t>
  </si>
  <si>
    <t>Honda ATC110 Intake Manifold 1979-1985 Carburetor Inlet Pipe ATC 110 Make Offer</t>
  </si>
  <si>
    <t>Honda ATC110 Cylinder 1979-1985 Core ATC 110 Make Offer</t>
  </si>
  <si>
    <t>Yamaha Blaster 200 Oil Injection Tank 1988-2006 Guard Gauge Lid Make Offer</t>
  </si>
  <si>
    <t>Honda ATC110 OEM CDI Box 1981-1983 ATC 110 Ignition Module 185S 200 200E</t>
  </si>
  <si>
    <t>Honda ATC110 Cylinder 1979-1985 Jug Core ATC 110 Stock Bore</t>
  </si>
  <si>
    <t>Yamaha Blaster 200 OEM Tie Rods 1988-2006 Ends Left Right Make Offer</t>
  </si>
  <si>
    <t>Yamaha Warrior 350 Front Hood 1989-2004 Panel Nose Blue Make Offer</t>
  </si>
  <si>
    <t>Honda ATC110 Transmission 1981-1985 Gears Shift Forks ATC 110 Make Offer</t>
  </si>
  <si>
    <t>Honda ATC110 Rear Axle Hubs 1979-1981 Three Lug Left Right ATC 110 Make Offer</t>
  </si>
  <si>
    <t>Transaction Fee</t>
  </si>
  <si>
    <t>Gross 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</si>
</sst>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6" fillId="0" borderId="0" xfId="0" applyFont="1" applyAlignment="1">
      <alignment horizontal="left"/>
    </xf>
    <xf numFmtId="2" fontId="16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/>
    <xf numFmtId="4" fontId="0" fillId="0" borderId="0" xfId="0" applyNumberFormat="1" applyAlignment="1">
      <alignment horizontal="left"/>
    </xf>
    <xf numFmtId="4" fontId="0" fillId="0" borderId="0" xfId="0" applyNumberFormat="1"/>
    <xf numFmtId="14" fontId="16" fillId="0" borderId="0" xfId="0" applyNumberFormat="1" applyFont="1" applyAlignment="1">
      <alignment horizontal="left"/>
    </xf>
    <xf numFmtId="0" fontId="18" fillId="0" borderId="0" xfId="0" applyFont="1" applyAlignment="1">
      <alignment horizontal="left"/>
    </xf>
    <xf numFmtId="2" fontId="18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6"/>
  <sheetViews>
    <sheetView tabSelected="1" workbookViewId="0"/>
  </sheetViews>
  <sheetFormatPr defaultRowHeight="15" x14ac:dyDescent="0.25"/>
  <cols>
    <col min="1" max="1" width="27.28515625" customWidth="1"/>
    <col min="2" max="2" width="12.5703125" customWidth="1"/>
  </cols>
  <sheetData>
    <row r="1" spans="1:2" x14ac:dyDescent="0.25">
      <c r="B1" s="6"/>
    </row>
    <row r="2" spans="1:2" x14ac:dyDescent="0.25">
      <c r="A2" t="s">
        <v>18</v>
      </c>
      <c r="B2" s="7">
        <f>'eBay Sales'!D423</f>
        <v>19846.8</v>
      </c>
    </row>
    <row r="3" spans="1:2" x14ac:dyDescent="0.25">
      <c r="B3" s="8"/>
    </row>
    <row r="4" spans="1:2" x14ac:dyDescent="0.25">
      <c r="A4" t="s">
        <v>24</v>
      </c>
      <c r="B4" s="7">
        <f>'PayPal Sales'!D82</f>
        <v>14238.980000000001</v>
      </c>
    </row>
    <row r="5" spans="1:2" x14ac:dyDescent="0.25">
      <c r="B5" s="8"/>
    </row>
    <row r="6" spans="1:2" x14ac:dyDescent="0.25">
      <c r="A6" t="s">
        <v>19</v>
      </c>
      <c r="B6" s="7">
        <f>SUM(B2:B4)</f>
        <v>34085.78</v>
      </c>
    </row>
  </sheetData>
  <printOptions gridLines="1"/>
  <pageMargins left="0.7" right="0.7" top="0.75" bottom="0.75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7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.85546875" style="1" customWidth="1"/>
    <col min="2" max="2" width="11.42578125" style="1" customWidth="1"/>
    <col min="3" max="3" width="82.140625" style="5" bestFit="1" customWidth="1"/>
    <col min="4" max="4" width="12.85546875" style="5" customWidth="1"/>
    <col min="5" max="5" width="17.7109375" style="5" customWidth="1"/>
    <col min="6" max="6" width="15.5703125" style="5" customWidth="1"/>
    <col min="7" max="7" width="9.140625" style="5"/>
    <col min="8" max="16384" width="9.140625" style="1"/>
  </cols>
  <sheetData>
    <row r="1" spans="1:7" x14ac:dyDescent="0.25">
      <c r="A1" s="9" t="s">
        <v>7</v>
      </c>
      <c r="B1" s="3" t="s">
        <v>1</v>
      </c>
      <c r="C1" s="3" t="s">
        <v>8</v>
      </c>
      <c r="D1" s="4" t="s">
        <v>2</v>
      </c>
      <c r="E1" s="4" t="s">
        <v>423</v>
      </c>
      <c r="F1" s="4" t="s">
        <v>424</v>
      </c>
      <c r="G1" s="4" t="s">
        <v>4</v>
      </c>
    </row>
    <row r="2" spans="1:7" x14ac:dyDescent="0.25">
      <c r="A2" s="2">
        <v>44571</v>
      </c>
      <c r="B2" s="1" t="s">
        <v>9</v>
      </c>
      <c r="C2" s="1" t="s">
        <v>46</v>
      </c>
      <c r="D2" s="5">
        <v>39</v>
      </c>
      <c r="E2" s="5">
        <v>-4.37</v>
      </c>
      <c r="F2" s="5">
        <v>0</v>
      </c>
      <c r="G2" s="5">
        <f>D2+E2</f>
        <v>34.630000000000003</v>
      </c>
    </row>
    <row r="3" spans="1:7" x14ac:dyDescent="0.25">
      <c r="A3" s="2">
        <v>44573</v>
      </c>
      <c r="B3" s="1" t="s">
        <v>9</v>
      </c>
      <c r="C3" s="1" t="s">
        <v>47</v>
      </c>
      <c r="D3" s="5">
        <v>150</v>
      </c>
      <c r="E3" s="5">
        <v>-15.86</v>
      </c>
      <c r="F3" s="5">
        <v>0</v>
      </c>
      <c r="G3" s="5">
        <f t="shared" ref="G3:G66" si="0">D3+E3</f>
        <v>134.13999999999999</v>
      </c>
    </row>
    <row r="4" spans="1:7" x14ac:dyDescent="0.25">
      <c r="A4" s="2">
        <v>44573</v>
      </c>
      <c r="B4" s="1" t="s">
        <v>9</v>
      </c>
      <c r="C4" s="1" t="s">
        <v>48</v>
      </c>
      <c r="D4" s="5">
        <v>29</v>
      </c>
      <c r="E4" s="5">
        <v>-3.09</v>
      </c>
      <c r="F4" s="5">
        <v>0</v>
      </c>
      <c r="G4" s="5">
        <f t="shared" si="0"/>
        <v>25.91</v>
      </c>
    </row>
    <row r="5" spans="1:7" x14ac:dyDescent="0.25">
      <c r="A5" s="2">
        <v>44573</v>
      </c>
      <c r="B5" s="1" t="s">
        <v>9</v>
      </c>
      <c r="C5" s="1" t="s">
        <v>49</v>
      </c>
      <c r="D5" s="5">
        <v>30</v>
      </c>
      <c r="E5" s="5">
        <v>-3.43</v>
      </c>
      <c r="F5" s="5">
        <v>0</v>
      </c>
      <c r="G5" s="5">
        <f t="shared" si="0"/>
        <v>26.57</v>
      </c>
    </row>
    <row r="6" spans="1:7" x14ac:dyDescent="0.25">
      <c r="A6" s="2">
        <v>44574</v>
      </c>
      <c r="B6" s="1" t="s">
        <v>9</v>
      </c>
      <c r="C6" s="1" t="s">
        <v>50</v>
      </c>
      <c r="D6" s="5">
        <v>30</v>
      </c>
      <c r="E6" s="5">
        <v>-3.4</v>
      </c>
      <c r="F6" s="5">
        <v>0</v>
      </c>
      <c r="G6" s="5">
        <f t="shared" si="0"/>
        <v>26.6</v>
      </c>
    </row>
    <row r="7" spans="1:7" x14ac:dyDescent="0.25">
      <c r="A7" s="2">
        <v>44574</v>
      </c>
      <c r="B7" s="1" t="s">
        <v>9</v>
      </c>
      <c r="C7" s="1" t="s">
        <v>51</v>
      </c>
      <c r="D7" s="5">
        <v>19</v>
      </c>
      <c r="E7" s="5">
        <v>-2.25</v>
      </c>
      <c r="F7" s="5">
        <v>0</v>
      </c>
      <c r="G7" s="5">
        <f t="shared" si="0"/>
        <v>16.75</v>
      </c>
    </row>
    <row r="8" spans="1:7" x14ac:dyDescent="0.25">
      <c r="A8" s="2">
        <v>44574</v>
      </c>
      <c r="B8" s="1" t="s">
        <v>9</v>
      </c>
      <c r="C8" s="1" t="s">
        <v>52</v>
      </c>
      <c r="D8" s="5">
        <v>39</v>
      </c>
      <c r="E8" s="5">
        <v>-4.32</v>
      </c>
      <c r="F8" s="5">
        <v>0</v>
      </c>
      <c r="G8" s="5">
        <f t="shared" si="0"/>
        <v>34.68</v>
      </c>
    </row>
    <row r="9" spans="1:7" x14ac:dyDescent="0.25">
      <c r="A9" s="2">
        <v>44574</v>
      </c>
      <c r="B9" s="1" t="s">
        <v>9</v>
      </c>
      <c r="C9" s="1" t="s">
        <v>53</v>
      </c>
      <c r="D9" s="5">
        <v>15</v>
      </c>
      <c r="E9" s="5">
        <v>-1.83</v>
      </c>
      <c r="F9" s="5">
        <v>0</v>
      </c>
      <c r="G9" s="5">
        <f t="shared" si="0"/>
        <v>13.17</v>
      </c>
    </row>
    <row r="10" spans="1:7" x14ac:dyDescent="0.25">
      <c r="A10" s="2">
        <v>44574</v>
      </c>
      <c r="B10" s="1" t="s">
        <v>9</v>
      </c>
      <c r="C10" s="1" t="s">
        <v>54</v>
      </c>
      <c r="D10" s="5">
        <v>29</v>
      </c>
      <c r="E10" s="5">
        <v>-3.27</v>
      </c>
      <c r="F10" s="5">
        <v>0</v>
      </c>
      <c r="G10" s="5">
        <f t="shared" si="0"/>
        <v>25.73</v>
      </c>
    </row>
    <row r="11" spans="1:7" x14ac:dyDescent="0.25">
      <c r="A11" s="2">
        <v>44574</v>
      </c>
      <c r="B11" s="1" t="s">
        <v>9</v>
      </c>
      <c r="C11" s="1" t="s">
        <v>55</v>
      </c>
      <c r="D11" s="5">
        <v>19</v>
      </c>
      <c r="E11" s="5">
        <v>-2.2799999999999998</v>
      </c>
      <c r="F11" s="5">
        <v>0</v>
      </c>
      <c r="G11" s="5">
        <f t="shared" si="0"/>
        <v>16.72</v>
      </c>
    </row>
    <row r="12" spans="1:7" x14ac:dyDescent="0.25">
      <c r="A12" s="2">
        <v>44575</v>
      </c>
      <c r="B12" s="1" t="s">
        <v>9</v>
      </c>
      <c r="C12" s="1" t="s">
        <v>56</v>
      </c>
      <c r="D12" s="5">
        <v>20.5</v>
      </c>
      <c r="E12" s="5">
        <v>-2.42</v>
      </c>
      <c r="F12" s="5">
        <v>-20.5</v>
      </c>
      <c r="G12" s="5">
        <f t="shared" si="0"/>
        <v>18.079999999999998</v>
      </c>
    </row>
    <row r="13" spans="1:7" x14ac:dyDescent="0.25">
      <c r="A13" s="2">
        <v>44579</v>
      </c>
      <c r="B13" s="1" t="s">
        <v>9</v>
      </c>
      <c r="C13" s="1" t="s">
        <v>57</v>
      </c>
      <c r="D13" s="5">
        <v>25</v>
      </c>
      <c r="E13" s="5">
        <v>-2.85</v>
      </c>
      <c r="F13" s="5">
        <v>0</v>
      </c>
      <c r="G13" s="5">
        <f t="shared" si="0"/>
        <v>22.15</v>
      </c>
    </row>
    <row r="14" spans="1:7" x14ac:dyDescent="0.25">
      <c r="A14" s="2">
        <v>44579</v>
      </c>
      <c r="B14" s="1" t="s">
        <v>9</v>
      </c>
      <c r="C14" s="1" t="s">
        <v>58</v>
      </c>
      <c r="D14" s="5">
        <v>30</v>
      </c>
      <c r="E14" s="5">
        <v>-3.36</v>
      </c>
      <c r="F14" s="5">
        <v>0</v>
      </c>
      <c r="G14" s="5">
        <f t="shared" si="0"/>
        <v>26.64</v>
      </c>
    </row>
    <row r="15" spans="1:7" x14ac:dyDescent="0.25">
      <c r="A15" s="2">
        <v>44579</v>
      </c>
      <c r="B15" s="1" t="s">
        <v>9</v>
      </c>
      <c r="C15" s="1" t="s">
        <v>59</v>
      </c>
      <c r="D15" s="5">
        <v>49</v>
      </c>
      <c r="E15" s="5">
        <v>-5.4</v>
      </c>
      <c r="F15" s="5">
        <v>0</v>
      </c>
      <c r="G15" s="5">
        <f t="shared" si="0"/>
        <v>43.6</v>
      </c>
    </row>
    <row r="16" spans="1:7" x14ac:dyDescent="0.25">
      <c r="A16" s="2">
        <v>44579</v>
      </c>
      <c r="B16" s="1" t="s">
        <v>9</v>
      </c>
      <c r="C16" s="1" t="s">
        <v>60</v>
      </c>
      <c r="D16" s="5">
        <v>75</v>
      </c>
      <c r="E16" s="5">
        <v>-8.06</v>
      </c>
      <c r="F16" s="5">
        <v>0</v>
      </c>
      <c r="G16" s="5">
        <f t="shared" si="0"/>
        <v>66.94</v>
      </c>
    </row>
    <row r="17" spans="1:7" x14ac:dyDescent="0.25">
      <c r="A17" s="2">
        <v>44579</v>
      </c>
      <c r="B17" s="1" t="s">
        <v>9</v>
      </c>
      <c r="C17" s="1" t="s">
        <v>61</v>
      </c>
      <c r="D17" s="5">
        <v>19</v>
      </c>
      <c r="E17" s="5">
        <v>-2.2599999999999998</v>
      </c>
      <c r="F17" s="5">
        <v>0</v>
      </c>
      <c r="G17" s="5">
        <f t="shared" si="0"/>
        <v>16.740000000000002</v>
      </c>
    </row>
    <row r="18" spans="1:7" x14ac:dyDescent="0.25">
      <c r="A18" s="2">
        <v>44579</v>
      </c>
      <c r="B18" s="1" t="s">
        <v>9</v>
      </c>
      <c r="C18" s="1" t="s">
        <v>62</v>
      </c>
      <c r="D18" s="5">
        <v>49</v>
      </c>
      <c r="E18" s="5">
        <v>-5.3</v>
      </c>
      <c r="F18" s="5">
        <v>0</v>
      </c>
      <c r="G18" s="5">
        <f t="shared" si="0"/>
        <v>43.7</v>
      </c>
    </row>
    <row r="19" spans="1:7" x14ac:dyDescent="0.25">
      <c r="A19" s="2">
        <v>44580</v>
      </c>
      <c r="B19" s="1" t="s">
        <v>9</v>
      </c>
      <c r="C19" s="1" t="s">
        <v>63</v>
      </c>
      <c r="D19" s="5">
        <v>19</v>
      </c>
      <c r="E19" s="5">
        <v>-2.2799999999999998</v>
      </c>
      <c r="F19" s="5">
        <v>0</v>
      </c>
      <c r="G19" s="5">
        <f t="shared" si="0"/>
        <v>16.72</v>
      </c>
    </row>
    <row r="20" spans="1:7" x14ac:dyDescent="0.25">
      <c r="A20" s="2">
        <v>44580</v>
      </c>
      <c r="B20" s="1" t="s">
        <v>9</v>
      </c>
      <c r="C20" s="1" t="s">
        <v>64</v>
      </c>
      <c r="D20" s="5">
        <v>19</v>
      </c>
      <c r="E20" s="5">
        <v>-2.13</v>
      </c>
      <c r="F20" s="5">
        <v>0</v>
      </c>
      <c r="G20" s="5">
        <f t="shared" si="0"/>
        <v>16.87</v>
      </c>
    </row>
    <row r="21" spans="1:7" x14ac:dyDescent="0.25">
      <c r="A21" s="2">
        <v>44581</v>
      </c>
      <c r="B21" s="1" t="s">
        <v>9</v>
      </c>
      <c r="C21" s="1" t="s">
        <v>65</v>
      </c>
      <c r="D21" s="5">
        <v>125</v>
      </c>
      <c r="E21" s="5">
        <v>-15.95</v>
      </c>
      <c r="F21" s="5">
        <v>0</v>
      </c>
      <c r="G21" s="5">
        <f t="shared" si="0"/>
        <v>109.05</v>
      </c>
    </row>
    <row r="22" spans="1:7" x14ac:dyDescent="0.25">
      <c r="A22" s="2">
        <v>44581</v>
      </c>
      <c r="B22" s="1" t="s">
        <v>9</v>
      </c>
      <c r="C22" s="1" t="s">
        <v>66</v>
      </c>
      <c r="D22" s="5">
        <v>120</v>
      </c>
      <c r="E22" s="5">
        <v>-12.75</v>
      </c>
      <c r="F22" s="5">
        <v>0</v>
      </c>
      <c r="G22" s="5">
        <f t="shared" si="0"/>
        <v>107.25</v>
      </c>
    </row>
    <row r="23" spans="1:7" x14ac:dyDescent="0.25">
      <c r="A23" s="2">
        <v>44581</v>
      </c>
      <c r="B23" s="1" t="s">
        <v>9</v>
      </c>
      <c r="C23" s="1" t="s">
        <v>67</v>
      </c>
      <c r="D23" s="5">
        <v>15</v>
      </c>
      <c r="E23" s="5">
        <v>-1.83</v>
      </c>
      <c r="F23" s="5">
        <v>0</v>
      </c>
      <c r="G23" s="5">
        <f t="shared" si="0"/>
        <v>13.17</v>
      </c>
    </row>
    <row r="24" spans="1:7" x14ac:dyDescent="0.25">
      <c r="A24" s="2">
        <v>44581</v>
      </c>
      <c r="B24" s="1" t="s">
        <v>9</v>
      </c>
      <c r="C24" s="1" t="s">
        <v>68</v>
      </c>
      <c r="D24" s="5">
        <v>19</v>
      </c>
      <c r="E24" s="5">
        <v>-2.2400000000000002</v>
      </c>
      <c r="F24" s="5">
        <v>0</v>
      </c>
      <c r="G24" s="5">
        <f t="shared" si="0"/>
        <v>16.759999999999998</v>
      </c>
    </row>
    <row r="25" spans="1:7" x14ac:dyDescent="0.25">
      <c r="A25" s="2">
        <v>44582</v>
      </c>
      <c r="B25" s="1" t="s">
        <v>9</v>
      </c>
      <c r="C25" s="1" t="s">
        <v>69</v>
      </c>
      <c r="D25" s="5">
        <v>15</v>
      </c>
      <c r="E25" s="5">
        <v>-1.84</v>
      </c>
      <c r="F25" s="5">
        <v>0</v>
      </c>
      <c r="G25" s="5">
        <f t="shared" si="0"/>
        <v>13.16</v>
      </c>
    </row>
    <row r="26" spans="1:7" x14ac:dyDescent="0.25">
      <c r="A26" s="2">
        <v>44584</v>
      </c>
      <c r="B26" s="1" t="s">
        <v>9</v>
      </c>
      <c r="C26" s="1" t="s">
        <v>70</v>
      </c>
      <c r="D26" s="5">
        <v>30</v>
      </c>
      <c r="E26" s="5">
        <v>-3.42</v>
      </c>
      <c r="F26" s="5">
        <v>0</v>
      </c>
      <c r="G26" s="5">
        <f t="shared" si="0"/>
        <v>26.58</v>
      </c>
    </row>
    <row r="27" spans="1:7" x14ac:dyDescent="0.25">
      <c r="A27" s="2">
        <v>44584</v>
      </c>
      <c r="B27" s="1" t="s">
        <v>9</v>
      </c>
      <c r="C27" s="1" t="s">
        <v>71</v>
      </c>
      <c r="D27" s="5">
        <v>29</v>
      </c>
      <c r="E27" s="5">
        <v>-3.38</v>
      </c>
      <c r="F27" s="5">
        <v>0</v>
      </c>
      <c r="G27" s="5">
        <f t="shared" si="0"/>
        <v>25.62</v>
      </c>
    </row>
    <row r="28" spans="1:7" x14ac:dyDescent="0.25">
      <c r="A28" s="2">
        <v>44585</v>
      </c>
      <c r="B28" s="1" t="s">
        <v>9</v>
      </c>
      <c r="C28" s="1" t="s">
        <v>72</v>
      </c>
      <c r="D28" s="5">
        <v>25</v>
      </c>
      <c r="E28" s="5">
        <v>-2.88</v>
      </c>
      <c r="F28" s="5">
        <v>0</v>
      </c>
      <c r="G28" s="5">
        <f t="shared" si="0"/>
        <v>22.12</v>
      </c>
    </row>
    <row r="29" spans="1:7" x14ac:dyDescent="0.25">
      <c r="A29" s="2">
        <v>44592</v>
      </c>
      <c r="B29" s="1" t="s">
        <v>9</v>
      </c>
      <c r="C29" s="1" t="s">
        <v>73</v>
      </c>
      <c r="D29" s="5">
        <v>9</v>
      </c>
      <c r="E29" s="5">
        <v>-1.24</v>
      </c>
      <c r="F29" s="5">
        <v>-9</v>
      </c>
      <c r="G29" s="5">
        <f t="shared" si="0"/>
        <v>7.76</v>
      </c>
    </row>
    <row r="30" spans="1:7" x14ac:dyDescent="0.25">
      <c r="A30" s="2">
        <v>44592</v>
      </c>
      <c r="B30" s="1" t="s">
        <v>9</v>
      </c>
      <c r="C30" s="1" t="s">
        <v>74</v>
      </c>
      <c r="D30" s="5">
        <v>24</v>
      </c>
      <c r="E30" s="5">
        <v>-2.78</v>
      </c>
      <c r="F30" s="5">
        <v>0</v>
      </c>
      <c r="G30" s="5">
        <f t="shared" si="0"/>
        <v>21.22</v>
      </c>
    </row>
    <row r="31" spans="1:7" x14ac:dyDescent="0.25">
      <c r="A31" s="2">
        <v>44592</v>
      </c>
      <c r="B31" s="1" t="s">
        <v>9</v>
      </c>
      <c r="C31" s="1" t="s">
        <v>75</v>
      </c>
      <c r="D31" s="5">
        <v>39</v>
      </c>
      <c r="E31" s="5">
        <v>-4.3600000000000003</v>
      </c>
      <c r="F31" s="5">
        <v>0</v>
      </c>
      <c r="G31" s="5">
        <f t="shared" si="0"/>
        <v>34.64</v>
      </c>
    </row>
    <row r="32" spans="1:7" x14ac:dyDescent="0.25">
      <c r="A32" s="2">
        <v>44592</v>
      </c>
      <c r="B32" s="1" t="s">
        <v>9</v>
      </c>
      <c r="C32" s="1" t="s">
        <v>13</v>
      </c>
      <c r="D32" s="5">
        <v>19</v>
      </c>
      <c r="E32" s="5">
        <v>-2.27</v>
      </c>
      <c r="F32" s="5">
        <v>0</v>
      </c>
      <c r="G32" s="5">
        <f t="shared" si="0"/>
        <v>16.73</v>
      </c>
    </row>
    <row r="33" spans="1:7" x14ac:dyDescent="0.25">
      <c r="A33" s="2">
        <v>44592</v>
      </c>
      <c r="B33" s="1" t="s">
        <v>9</v>
      </c>
      <c r="C33" s="1" t="s">
        <v>76</v>
      </c>
      <c r="D33" s="5">
        <v>49</v>
      </c>
      <c r="E33" s="5">
        <v>-5.28</v>
      </c>
      <c r="F33" s="5">
        <v>0</v>
      </c>
      <c r="G33" s="5">
        <f t="shared" si="0"/>
        <v>43.72</v>
      </c>
    </row>
    <row r="34" spans="1:7" x14ac:dyDescent="0.25">
      <c r="A34" s="2">
        <v>44592</v>
      </c>
      <c r="B34" s="1" t="s">
        <v>9</v>
      </c>
      <c r="C34" s="1" t="s">
        <v>77</v>
      </c>
      <c r="D34" s="5">
        <v>7</v>
      </c>
      <c r="E34" s="5">
        <v>-1.03</v>
      </c>
      <c r="F34" s="5">
        <v>0</v>
      </c>
      <c r="G34" s="5">
        <f t="shared" si="0"/>
        <v>5.97</v>
      </c>
    </row>
    <row r="35" spans="1:7" x14ac:dyDescent="0.25">
      <c r="A35" s="2">
        <v>44593</v>
      </c>
      <c r="B35" s="1" t="s">
        <v>9</v>
      </c>
      <c r="C35" s="1" t="s">
        <v>78</v>
      </c>
      <c r="D35" s="5">
        <v>20</v>
      </c>
      <c r="E35" s="5">
        <v>-2.38</v>
      </c>
      <c r="F35" s="5">
        <v>0</v>
      </c>
      <c r="G35" s="5">
        <f t="shared" si="0"/>
        <v>17.62</v>
      </c>
    </row>
    <row r="36" spans="1:7" x14ac:dyDescent="0.25">
      <c r="A36" s="2">
        <v>44593</v>
      </c>
      <c r="B36" s="1" t="s">
        <v>9</v>
      </c>
      <c r="C36" s="1" t="s">
        <v>79</v>
      </c>
      <c r="D36" s="5">
        <v>29</v>
      </c>
      <c r="E36" s="5">
        <v>-3.27</v>
      </c>
      <c r="F36" s="5">
        <v>0</v>
      </c>
      <c r="G36" s="5">
        <f t="shared" si="0"/>
        <v>25.73</v>
      </c>
    </row>
    <row r="37" spans="1:7" x14ac:dyDescent="0.25">
      <c r="A37" s="2">
        <v>44596</v>
      </c>
      <c r="B37" s="1" t="s">
        <v>9</v>
      </c>
      <c r="C37" s="1" t="s">
        <v>80</v>
      </c>
      <c r="D37" s="5">
        <v>69</v>
      </c>
      <c r="E37" s="5">
        <v>-7.34</v>
      </c>
      <c r="F37" s="5">
        <v>0</v>
      </c>
      <c r="G37" s="5">
        <f t="shared" si="0"/>
        <v>61.66</v>
      </c>
    </row>
    <row r="38" spans="1:7" x14ac:dyDescent="0.25">
      <c r="A38" s="2">
        <v>44599</v>
      </c>
      <c r="B38" s="1" t="s">
        <v>9</v>
      </c>
      <c r="C38" s="1" t="s">
        <v>81</v>
      </c>
      <c r="D38" s="5">
        <v>9</v>
      </c>
      <c r="E38" s="5">
        <v>-1.24</v>
      </c>
      <c r="F38" s="5">
        <v>0</v>
      </c>
      <c r="G38" s="5">
        <f t="shared" si="0"/>
        <v>7.76</v>
      </c>
    </row>
    <row r="39" spans="1:7" x14ac:dyDescent="0.25">
      <c r="A39" s="2">
        <v>44599</v>
      </c>
      <c r="B39" s="1" t="s">
        <v>9</v>
      </c>
      <c r="C39" s="1" t="s">
        <v>82</v>
      </c>
      <c r="D39" s="5">
        <v>75</v>
      </c>
      <c r="E39" s="5">
        <v>-8.01</v>
      </c>
      <c r="F39" s="5">
        <v>0</v>
      </c>
      <c r="G39" s="5">
        <f t="shared" si="0"/>
        <v>66.989999999999995</v>
      </c>
    </row>
    <row r="40" spans="1:7" x14ac:dyDescent="0.25">
      <c r="A40" s="2">
        <v>44601</v>
      </c>
      <c r="B40" s="1" t="s">
        <v>9</v>
      </c>
      <c r="C40" s="1" t="s">
        <v>83</v>
      </c>
      <c r="D40" s="5">
        <v>40</v>
      </c>
      <c r="E40" s="5">
        <v>-5.45</v>
      </c>
      <c r="F40" s="5">
        <v>0</v>
      </c>
      <c r="G40" s="5">
        <f t="shared" si="0"/>
        <v>34.549999999999997</v>
      </c>
    </row>
    <row r="41" spans="1:7" x14ac:dyDescent="0.25">
      <c r="A41" s="2">
        <v>44602</v>
      </c>
      <c r="B41" s="1" t="s">
        <v>9</v>
      </c>
      <c r="C41" s="1" t="s">
        <v>84</v>
      </c>
      <c r="D41" s="5">
        <v>60</v>
      </c>
      <c r="E41" s="5">
        <v>-6.48</v>
      </c>
      <c r="F41" s="5">
        <v>0</v>
      </c>
      <c r="G41" s="5">
        <f t="shared" si="0"/>
        <v>53.519999999999996</v>
      </c>
    </row>
    <row r="42" spans="1:7" x14ac:dyDescent="0.25">
      <c r="A42" s="2">
        <v>44603</v>
      </c>
      <c r="B42" s="1" t="s">
        <v>9</v>
      </c>
      <c r="C42" s="1" t="s">
        <v>85</v>
      </c>
      <c r="D42" s="5">
        <v>45</v>
      </c>
      <c r="E42" s="5">
        <v>-4.8899999999999997</v>
      </c>
      <c r="F42" s="5">
        <v>0</v>
      </c>
      <c r="G42" s="5">
        <f t="shared" si="0"/>
        <v>40.11</v>
      </c>
    </row>
    <row r="43" spans="1:7" x14ac:dyDescent="0.25">
      <c r="A43" s="2">
        <v>44603</v>
      </c>
      <c r="B43" s="1" t="s">
        <v>9</v>
      </c>
      <c r="C43" s="1" t="s">
        <v>86</v>
      </c>
      <c r="D43" s="5">
        <v>89.99</v>
      </c>
      <c r="E43" s="5">
        <v>-11.46</v>
      </c>
      <c r="F43" s="5">
        <v>0</v>
      </c>
      <c r="G43" s="5">
        <f t="shared" si="0"/>
        <v>78.53</v>
      </c>
    </row>
    <row r="44" spans="1:7" x14ac:dyDescent="0.25">
      <c r="A44" s="2">
        <v>44603</v>
      </c>
      <c r="B44" s="1" t="s">
        <v>9</v>
      </c>
      <c r="C44" s="1" t="s">
        <v>87</v>
      </c>
      <c r="D44" s="5">
        <v>80</v>
      </c>
      <c r="E44" s="5">
        <v>-8.66</v>
      </c>
      <c r="F44" s="5">
        <v>0</v>
      </c>
      <c r="G44" s="5">
        <f t="shared" si="0"/>
        <v>71.34</v>
      </c>
    </row>
    <row r="45" spans="1:7" x14ac:dyDescent="0.25">
      <c r="A45" s="2">
        <v>44605</v>
      </c>
      <c r="B45" s="1" t="s">
        <v>9</v>
      </c>
      <c r="C45" s="1" t="s">
        <v>88</v>
      </c>
      <c r="D45" s="5">
        <v>39</v>
      </c>
      <c r="E45" s="5">
        <v>-4.34</v>
      </c>
      <c r="F45" s="5">
        <v>0</v>
      </c>
      <c r="G45" s="5">
        <f t="shared" si="0"/>
        <v>34.659999999999997</v>
      </c>
    </row>
    <row r="46" spans="1:7" x14ac:dyDescent="0.25">
      <c r="A46" s="2">
        <v>44605</v>
      </c>
      <c r="B46" s="1" t="s">
        <v>9</v>
      </c>
      <c r="C46" s="1" t="s">
        <v>89</v>
      </c>
      <c r="D46" s="5">
        <v>20</v>
      </c>
      <c r="E46" s="5">
        <v>-2.56</v>
      </c>
      <c r="F46" s="5">
        <v>0</v>
      </c>
      <c r="G46" s="5">
        <f t="shared" si="0"/>
        <v>17.440000000000001</v>
      </c>
    </row>
    <row r="47" spans="1:7" x14ac:dyDescent="0.25">
      <c r="A47" s="2">
        <v>44605</v>
      </c>
      <c r="B47" s="1" t="s">
        <v>9</v>
      </c>
      <c r="C47" s="1" t="s">
        <v>90</v>
      </c>
      <c r="D47" s="5">
        <v>29</v>
      </c>
      <c r="E47" s="5">
        <v>-3.32</v>
      </c>
      <c r="F47" s="5">
        <v>0</v>
      </c>
      <c r="G47" s="5">
        <f t="shared" si="0"/>
        <v>25.68</v>
      </c>
    </row>
    <row r="48" spans="1:7" x14ac:dyDescent="0.25">
      <c r="A48" s="2">
        <v>44606</v>
      </c>
      <c r="B48" s="1" t="s">
        <v>9</v>
      </c>
      <c r="C48" s="1" t="s">
        <v>11</v>
      </c>
      <c r="D48" s="5">
        <v>79</v>
      </c>
      <c r="E48" s="5">
        <v>-8.57</v>
      </c>
      <c r="F48" s="5">
        <v>0</v>
      </c>
      <c r="G48" s="5">
        <f t="shared" si="0"/>
        <v>70.430000000000007</v>
      </c>
    </row>
    <row r="49" spans="1:7" x14ac:dyDescent="0.25">
      <c r="A49" s="2">
        <v>44606</v>
      </c>
      <c r="B49" s="1" t="s">
        <v>9</v>
      </c>
      <c r="C49" s="1" t="s">
        <v>91</v>
      </c>
      <c r="D49" s="5">
        <v>29</v>
      </c>
      <c r="E49" s="5">
        <v>-3.25</v>
      </c>
      <c r="F49" s="5">
        <v>0</v>
      </c>
      <c r="G49" s="5">
        <f t="shared" si="0"/>
        <v>25.75</v>
      </c>
    </row>
    <row r="50" spans="1:7" x14ac:dyDescent="0.25">
      <c r="A50" s="2">
        <v>44606</v>
      </c>
      <c r="B50" s="1" t="s">
        <v>9</v>
      </c>
      <c r="C50" s="1" t="s">
        <v>92</v>
      </c>
      <c r="D50" s="5">
        <v>139</v>
      </c>
      <c r="E50" s="5">
        <v>-18.010000000000002</v>
      </c>
      <c r="F50" s="5">
        <v>0</v>
      </c>
      <c r="G50" s="5">
        <f t="shared" si="0"/>
        <v>120.99</v>
      </c>
    </row>
    <row r="51" spans="1:7" x14ac:dyDescent="0.25">
      <c r="A51" s="2">
        <v>44606</v>
      </c>
      <c r="B51" s="1" t="s">
        <v>9</v>
      </c>
      <c r="C51" s="1" t="s">
        <v>93</v>
      </c>
      <c r="D51" s="5">
        <v>55</v>
      </c>
      <c r="E51" s="5">
        <v>-7.12</v>
      </c>
      <c r="F51" s="5">
        <v>0</v>
      </c>
      <c r="G51" s="5">
        <f t="shared" si="0"/>
        <v>47.88</v>
      </c>
    </row>
    <row r="52" spans="1:7" x14ac:dyDescent="0.25">
      <c r="A52" s="2">
        <v>44607</v>
      </c>
      <c r="B52" s="1" t="s">
        <v>9</v>
      </c>
      <c r="C52" s="1" t="s">
        <v>94</v>
      </c>
      <c r="D52" s="5">
        <v>40</v>
      </c>
      <c r="E52" s="5">
        <v>-4.55</v>
      </c>
      <c r="F52" s="5">
        <v>0</v>
      </c>
      <c r="G52" s="5">
        <f t="shared" si="0"/>
        <v>35.450000000000003</v>
      </c>
    </row>
    <row r="53" spans="1:7" x14ac:dyDescent="0.25">
      <c r="A53" s="2">
        <v>44608</v>
      </c>
      <c r="B53" s="1" t="s">
        <v>9</v>
      </c>
      <c r="C53" s="1" t="s">
        <v>95</v>
      </c>
      <c r="D53" s="5">
        <v>39</v>
      </c>
      <c r="E53" s="5">
        <v>-4.32</v>
      </c>
      <c r="F53" s="5">
        <v>0</v>
      </c>
      <c r="G53" s="5">
        <f t="shared" si="0"/>
        <v>34.68</v>
      </c>
    </row>
    <row r="54" spans="1:7" x14ac:dyDescent="0.25">
      <c r="A54" s="2">
        <v>44609</v>
      </c>
      <c r="B54" s="1" t="s">
        <v>9</v>
      </c>
      <c r="C54" s="1" t="s">
        <v>96</v>
      </c>
      <c r="D54" s="5">
        <v>19</v>
      </c>
      <c r="E54" s="5">
        <v>-2.34</v>
      </c>
      <c r="F54" s="5">
        <v>0</v>
      </c>
      <c r="G54" s="5">
        <f t="shared" si="0"/>
        <v>16.66</v>
      </c>
    </row>
    <row r="55" spans="1:7" x14ac:dyDescent="0.25">
      <c r="A55" s="2">
        <v>44610</v>
      </c>
      <c r="B55" s="1" t="s">
        <v>9</v>
      </c>
      <c r="C55" s="1" t="s">
        <v>97</v>
      </c>
      <c r="D55" s="5">
        <v>29</v>
      </c>
      <c r="E55" s="5">
        <v>-3.29</v>
      </c>
      <c r="F55" s="5">
        <v>0</v>
      </c>
      <c r="G55" s="5">
        <f t="shared" si="0"/>
        <v>25.71</v>
      </c>
    </row>
    <row r="56" spans="1:7" x14ac:dyDescent="0.25">
      <c r="A56" s="2">
        <v>44610</v>
      </c>
      <c r="B56" s="1" t="s">
        <v>9</v>
      </c>
      <c r="C56" s="1" t="s">
        <v>98</v>
      </c>
      <c r="D56" s="5">
        <v>10</v>
      </c>
      <c r="E56" s="5">
        <v>-1.34</v>
      </c>
      <c r="F56" s="5">
        <v>0</v>
      </c>
      <c r="G56" s="5">
        <f t="shared" si="0"/>
        <v>8.66</v>
      </c>
    </row>
    <row r="57" spans="1:7" x14ac:dyDescent="0.25">
      <c r="A57" s="2">
        <v>44614</v>
      </c>
      <c r="B57" s="1" t="s">
        <v>9</v>
      </c>
      <c r="C57" s="1" t="s">
        <v>99</v>
      </c>
      <c r="D57" s="5">
        <v>29</v>
      </c>
      <c r="E57" s="5">
        <v>-3.3</v>
      </c>
      <c r="F57" s="5">
        <v>0</v>
      </c>
      <c r="G57" s="5">
        <f t="shared" si="0"/>
        <v>25.7</v>
      </c>
    </row>
    <row r="58" spans="1:7" x14ac:dyDescent="0.25">
      <c r="A58" s="2">
        <v>44614</v>
      </c>
      <c r="B58" s="1" t="s">
        <v>9</v>
      </c>
      <c r="C58" s="1" t="s">
        <v>100</v>
      </c>
      <c r="D58" s="5">
        <v>75</v>
      </c>
      <c r="E58" s="5">
        <v>-8.1</v>
      </c>
      <c r="F58" s="5">
        <v>0</v>
      </c>
      <c r="G58" s="5">
        <f t="shared" si="0"/>
        <v>66.900000000000006</v>
      </c>
    </row>
    <row r="59" spans="1:7" x14ac:dyDescent="0.25">
      <c r="A59" s="2">
        <v>44614</v>
      </c>
      <c r="B59" s="1" t="s">
        <v>9</v>
      </c>
      <c r="C59" s="1" t="s">
        <v>101</v>
      </c>
      <c r="D59" s="5">
        <v>39</v>
      </c>
      <c r="E59" s="5">
        <v>-4.28</v>
      </c>
      <c r="F59" s="5">
        <v>-39</v>
      </c>
      <c r="G59" s="5">
        <f t="shared" si="0"/>
        <v>34.72</v>
      </c>
    </row>
    <row r="60" spans="1:7" x14ac:dyDescent="0.25">
      <c r="A60" s="2">
        <v>44615</v>
      </c>
      <c r="B60" s="1" t="s">
        <v>9</v>
      </c>
      <c r="C60" s="1" t="s">
        <v>102</v>
      </c>
      <c r="D60" s="5">
        <v>30</v>
      </c>
      <c r="E60" s="5">
        <v>-3.69</v>
      </c>
      <c r="F60" s="5">
        <v>0</v>
      </c>
      <c r="G60" s="5">
        <f t="shared" si="0"/>
        <v>26.31</v>
      </c>
    </row>
    <row r="61" spans="1:7" x14ac:dyDescent="0.25">
      <c r="A61" s="2">
        <v>44615</v>
      </c>
      <c r="B61" s="1" t="s">
        <v>9</v>
      </c>
      <c r="C61" s="1" t="s">
        <v>103</v>
      </c>
      <c r="D61" s="5">
        <v>15</v>
      </c>
      <c r="E61" s="5">
        <v>-1.85</v>
      </c>
      <c r="F61" s="5">
        <v>0</v>
      </c>
      <c r="G61" s="5">
        <f t="shared" si="0"/>
        <v>13.15</v>
      </c>
    </row>
    <row r="62" spans="1:7" x14ac:dyDescent="0.25">
      <c r="A62" s="2">
        <v>44615</v>
      </c>
      <c r="B62" s="1" t="s">
        <v>9</v>
      </c>
      <c r="C62" s="1" t="s">
        <v>104</v>
      </c>
      <c r="D62" s="5">
        <v>10</v>
      </c>
      <c r="E62" s="5">
        <v>-1.32</v>
      </c>
      <c r="F62" s="5">
        <v>0</v>
      </c>
      <c r="G62" s="5">
        <f t="shared" si="0"/>
        <v>8.68</v>
      </c>
    </row>
    <row r="63" spans="1:7" x14ac:dyDescent="0.25">
      <c r="A63" s="2">
        <v>44616</v>
      </c>
      <c r="B63" s="1" t="s">
        <v>9</v>
      </c>
      <c r="C63" s="1" t="s">
        <v>105</v>
      </c>
      <c r="D63" s="5">
        <v>15</v>
      </c>
      <c r="E63" s="5">
        <v>-1.83</v>
      </c>
      <c r="F63" s="5">
        <v>0</v>
      </c>
      <c r="G63" s="5">
        <f t="shared" si="0"/>
        <v>13.17</v>
      </c>
    </row>
    <row r="64" spans="1:7" x14ac:dyDescent="0.25">
      <c r="A64" s="2">
        <v>44617</v>
      </c>
      <c r="B64" s="1" t="s">
        <v>9</v>
      </c>
      <c r="C64" s="1" t="s">
        <v>106</v>
      </c>
      <c r="D64" s="5">
        <v>45</v>
      </c>
      <c r="E64" s="5">
        <v>-4.9400000000000004</v>
      </c>
      <c r="F64" s="5">
        <v>0</v>
      </c>
      <c r="G64" s="5">
        <f t="shared" si="0"/>
        <v>40.06</v>
      </c>
    </row>
    <row r="65" spans="1:7" x14ac:dyDescent="0.25">
      <c r="A65" s="2">
        <v>44620</v>
      </c>
      <c r="B65" s="1" t="s">
        <v>9</v>
      </c>
      <c r="C65" s="1" t="s">
        <v>107</v>
      </c>
      <c r="D65" s="5">
        <v>19</v>
      </c>
      <c r="E65" s="5">
        <v>-2.2400000000000002</v>
      </c>
      <c r="F65" s="5">
        <v>0</v>
      </c>
      <c r="G65" s="5">
        <f t="shared" si="0"/>
        <v>16.759999999999998</v>
      </c>
    </row>
    <row r="66" spans="1:7" x14ac:dyDescent="0.25">
      <c r="A66" s="2">
        <v>44620</v>
      </c>
      <c r="B66" s="1" t="s">
        <v>9</v>
      </c>
      <c r="C66" s="1" t="s">
        <v>108</v>
      </c>
      <c r="D66" s="5">
        <v>119</v>
      </c>
      <c r="E66" s="5">
        <v>-15.11</v>
      </c>
      <c r="F66" s="5">
        <v>0</v>
      </c>
      <c r="G66" s="5">
        <f t="shared" si="0"/>
        <v>103.89</v>
      </c>
    </row>
    <row r="67" spans="1:7" x14ac:dyDescent="0.25">
      <c r="A67" s="2">
        <v>44620</v>
      </c>
      <c r="B67" s="1" t="s">
        <v>9</v>
      </c>
      <c r="C67" s="1" t="s">
        <v>109</v>
      </c>
      <c r="D67" s="5">
        <v>29</v>
      </c>
      <c r="E67" s="5">
        <v>-3.27</v>
      </c>
      <c r="F67" s="5">
        <v>0</v>
      </c>
      <c r="G67" s="5">
        <f t="shared" ref="G67:G130" si="1">D67+E67</f>
        <v>25.73</v>
      </c>
    </row>
    <row r="68" spans="1:7" x14ac:dyDescent="0.25">
      <c r="A68" s="2">
        <v>44620</v>
      </c>
      <c r="B68" s="1" t="s">
        <v>9</v>
      </c>
      <c r="C68" s="1" t="s">
        <v>110</v>
      </c>
      <c r="D68" s="5">
        <v>39</v>
      </c>
      <c r="E68" s="5">
        <v>-4.41</v>
      </c>
      <c r="F68" s="5">
        <v>0</v>
      </c>
      <c r="G68" s="5">
        <f t="shared" si="1"/>
        <v>34.590000000000003</v>
      </c>
    </row>
    <row r="69" spans="1:7" x14ac:dyDescent="0.25">
      <c r="A69" s="2">
        <v>44620</v>
      </c>
      <c r="B69" s="1" t="s">
        <v>9</v>
      </c>
      <c r="C69" s="1" t="s">
        <v>111</v>
      </c>
      <c r="D69" s="5">
        <v>25</v>
      </c>
      <c r="E69" s="5">
        <v>-3.23</v>
      </c>
      <c r="F69" s="5">
        <v>0</v>
      </c>
      <c r="G69" s="5">
        <f t="shared" si="1"/>
        <v>21.77</v>
      </c>
    </row>
    <row r="70" spans="1:7" x14ac:dyDescent="0.25">
      <c r="A70" s="2">
        <v>44620</v>
      </c>
      <c r="B70" s="1" t="s">
        <v>9</v>
      </c>
      <c r="C70" s="1" t="s">
        <v>112</v>
      </c>
      <c r="D70" s="5">
        <v>15</v>
      </c>
      <c r="E70" s="5">
        <v>-1.82</v>
      </c>
      <c r="F70" s="5">
        <v>0</v>
      </c>
      <c r="G70" s="5">
        <f t="shared" si="1"/>
        <v>13.18</v>
      </c>
    </row>
    <row r="71" spans="1:7" x14ac:dyDescent="0.25">
      <c r="A71" s="2">
        <v>44622</v>
      </c>
      <c r="B71" s="1" t="s">
        <v>9</v>
      </c>
      <c r="C71" s="1" t="s">
        <v>113</v>
      </c>
      <c r="D71" s="5">
        <v>29</v>
      </c>
      <c r="E71" s="5">
        <v>-3.37</v>
      </c>
      <c r="F71" s="5">
        <v>0</v>
      </c>
      <c r="G71" s="5">
        <f t="shared" si="1"/>
        <v>25.63</v>
      </c>
    </row>
    <row r="72" spans="1:7" x14ac:dyDescent="0.25">
      <c r="A72" s="2">
        <v>44622</v>
      </c>
      <c r="B72" s="1" t="s">
        <v>9</v>
      </c>
      <c r="C72" s="1" t="s">
        <v>114</v>
      </c>
      <c r="D72" s="5">
        <v>20</v>
      </c>
      <c r="E72" s="5">
        <v>-2.42</v>
      </c>
      <c r="F72" s="5">
        <v>0</v>
      </c>
      <c r="G72" s="5">
        <f t="shared" si="1"/>
        <v>17.579999999999998</v>
      </c>
    </row>
    <row r="73" spans="1:7" x14ac:dyDescent="0.25">
      <c r="A73" s="2">
        <v>44624</v>
      </c>
      <c r="B73" s="1" t="s">
        <v>9</v>
      </c>
      <c r="C73" s="1" t="s">
        <v>115</v>
      </c>
      <c r="D73" s="5">
        <v>80</v>
      </c>
      <c r="E73" s="5">
        <v>-8.8699999999999992</v>
      </c>
      <c r="F73" s="5">
        <v>0</v>
      </c>
      <c r="G73" s="5">
        <f t="shared" si="1"/>
        <v>71.13</v>
      </c>
    </row>
    <row r="74" spans="1:7" x14ac:dyDescent="0.25">
      <c r="A74" s="2">
        <v>44626</v>
      </c>
      <c r="B74" s="1" t="s">
        <v>9</v>
      </c>
      <c r="C74" s="1" t="s">
        <v>116</v>
      </c>
      <c r="D74" s="5">
        <v>39</v>
      </c>
      <c r="E74" s="5">
        <v>-4.3899999999999997</v>
      </c>
      <c r="F74" s="5">
        <v>0</v>
      </c>
      <c r="G74" s="5">
        <f t="shared" si="1"/>
        <v>34.61</v>
      </c>
    </row>
    <row r="75" spans="1:7" x14ac:dyDescent="0.25">
      <c r="A75" s="2">
        <v>44626</v>
      </c>
      <c r="B75" s="1" t="s">
        <v>9</v>
      </c>
      <c r="C75" s="1" t="s">
        <v>117</v>
      </c>
      <c r="D75" s="5">
        <v>49</v>
      </c>
      <c r="E75" s="5">
        <v>-5.44</v>
      </c>
      <c r="F75" s="5">
        <v>0</v>
      </c>
      <c r="G75" s="5">
        <f t="shared" si="1"/>
        <v>43.56</v>
      </c>
    </row>
    <row r="76" spans="1:7" x14ac:dyDescent="0.25">
      <c r="A76" s="2">
        <v>44627</v>
      </c>
      <c r="B76" s="1" t="s">
        <v>9</v>
      </c>
      <c r="C76" s="1" t="s">
        <v>118</v>
      </c>
      <c r="D76" s="5">
        <v>40</v>
      </c>
      <c r="E76" s="5">
        <v>-4.47</v>
      </c>
      <c r="F76" s="5">
        <v>0</v>
      </c>
      <c r="G76" s="5">
        <f t="shared" si="1"/>
        <v>35.53</v>
      </c>
    </row>
    <row r="77" spans="1:7" x14ac:dyDescent="0.25">
      <c r="A77" s="2">
        <v>44627</v>
      </c>
      <c r="B77" s="1" t="s">
        <v>9</v>
      </c>
      <c r="C77" s="1" t="s">
        <v>119</v>
      </c>
      <c r="D77" s="5">
        <v>40</v>
      </c>
      <c r="E77" s="5">
        <v>-4.26</v>
      </c>
      <c r="F77" s="5">
        <v>0</v>
      </c>
      <c r="G77" s="5">
        <f t="shared" si="1"/>
        <v>35.74</v>
      </c>
    </row>
    <row r="78" spans="1:7" x14ac:dyDescent="0.25">
      <c r="A78" s="2">
        <v>44628</v>
      </c>
      <c r="B78" s="1" t="s">
        <v>9</v>
      </c>
      <c r="C78" s="1" t="s">
        <v>120</v>
      </c>
      <c r="D78" s="5">
        <v>20</v>
      </c>
      <c r="E78" s="5">
        <v>-2.42</v>
      </c>
      <c r="F78" s="5">
        <v>0</v>
      </c>
      <c r="G78" s="5">
        <f t="shared" si="1"/>
        <v>17.579999999999998</v>
      </c>
    </row>
    <row r="79" spans="1:7" x14ac:dyDescent="0.25">
      <c r="A79" s="2">
        <v>44628</v>
      </c>
      <c r="B79" s="1" t="s">
        <v>9</v>
      </c>
      <c r="C79" s="1" t="s">
        <v>121</v>
      </c>
      <c r="D79" s="5">
        <v>29</v>
      </c>
      <c r="E79" s="5">
        <v>-3.34</v>
      </c>
      <c r="F79" s="5">
        <v>0</v>
      </c>
      <c r="G79" s="5">
        <f t="shared" si="1"/>
        <v>25.66</v>
      </c>
    </row>
    <row r="80" spans="1:7" x14ac:dyDescent="0.25">
      <c r="A80" s="2">
        <v>44628</v>
      </c>
      <c r="B80" s="1" t="s">
        <v>9</v>
      </c>
      <c r="C80" s="1" t="s">
        <v>122</v>
      </c>
      <c r="D80" s="5">
        <v>19</v>
      </c>
      <c r="E80" s="5">
        <v>-2.29</v>
      </c>
      <c r="F80" s="5">
        <v>0</v>
      </c>
      <c r="G80" s="5">
        <f t="shared" si="1"/>
        <v>16.71</v>
      </c>
    </row>
    <row r="81" spans="1:7" x14ac:dyDescent="0.25">
      <c r="A81" s="2">
        <v>44628</v>
      </c>
      <c r="B81" s="1" t="s">
        <v>9</v>
      </c>
      <c r="C81" s="1" t="s">
        <v>123</v>
      </c>
      <c r="D81" s="5">
        <v>19</v>
      </c>
      <c r="E81" s="5">
        <v>-2.3199999999999998</v>
      </c>
      <c r="F81" s="5">
        <v>0</v>
      </c>
      <c r="G81" s="5">
        <f t="shared" si="1"/>
        <v>16.68</v>
      </c>
    </row>
    <row r="82" spans="1:7" x14ac:dyDescent="0.25">
      <c r="A82" s="2">
        <v>44629</v>
      </c>
      <c r="B82" s="1" t="s">
        <v>9</v>
      </c>
      <c r="C82" s="1" t="s">
        <v>10</v>
      </c>
      <c r="D82" s="5">
        <v>29</v>
      </c>
      <c r="E82" s="5">
        <v>-3.43</v>
      </c>
      <c r="F82" s="5">
        <v>0</v>
      </c>
      <c r="G82" s="5">
        <f t="shared" si="1"/>
        <v>25.57</v>
      </c>
    </row>
    <row r="83" spans="1:7" x14ac:dyDescent="0.25">
      <c r="A83" s="2">
        <v>44630</v>
      </c>
      <c r="B83" s="1" t="s">
        <v>9</v>
      </c>
      <c r="C83" s="1" t="s">
        <v>124</v>
      </c>
      <c r="D83" s="5">
        <v>75</v>
      </c>
      <c r="E83" s="5">
        <v>-8.41</v>
      </c>
      <c r="F83" s="5">
        <v>0</v>
      </c>
      <c r="G83" s="5">
        <f t="shared" si="1"/>
        <v>66.59</v>
      </c>
    </row>
    <row r="84" spans="1:7" x14ac:dyDescent="0.25">
      <c r="A84" s="2">
        <v>44630</v>
      </c>
      <c r="B84" s="1" t="s">
        <v>9</v>
      </c>
      <c r="C84" s="1" t="s">
        <v>125</v>
      </c>
      <c r="D84" s="5">
        <v>59</v>
      </c>
      <c r="E84" s="5">
        <v>-6.68</v>
      </c>
      <c r="F84" s="5">
        <v>0</v>
      </c>
      <c r="G84" s="5">
        <f t="shared" si="1"/>
        <v>52.32</v>
      </c>
    </row>
    <row r="85" spans="1:7" x14ac:dyDescent="0.25">
      <c r="A85" s="2">
        <v>44631</v>
      </c>
      <c r="B85" s="1" t="s">
        <v>9</v>
      </c>
      <c r="C85" s="1" t="s">
        <v>126</v>
      </c>
      <c r="D85" s="5">
        <v>30</v>
      </c>
      <c r="E85" s="5">
        <v>-3.48</v>
      </c>
      <c r="F85" s="5">
        <v>0</v>
      </c>
      <c r="G85" s="5">
        <f t="shared" si="1"/>
        <v>26.52</v>
      </c>
    </row>
    <row r="86" spans="1:7" x14ac:dyDescent="0.25">
      <c r="A86" s="2">
        <v>44633</v>
      </c>
      <c r="B86" s="1" t="s">
        <v>9</v>
      </c>
      <c r="C86" s="1" t="s">
        <v>127</v>
      </c>
      <c r="D86" s="5">
        <v>30</v>
      </c>
      <c r="E86" s="5">
        <v>-3.43</v>
      </c>
      <c r="F86" s="5">
        <v>0</v>
      </c>
      <c r="G86" s="5">
        <f t="shared" si="1"/>
        <v>26.57</v>
      </c>
    </row>
    <row r="87" spans="1:7" x14ac:dyDescent="0.25">
      <c r="A87" s="2">
        <v>44634</v>
      </c>
      <c r="B87" s="1" t="s">
        <v>9</v>
      </c>
      <c r="C87" s="1" t="s">
        <v>128</v>
      </c>
      <c r="D87" s="5">
        <v>19</v>
      </c>
      <c r="E87" s="5">
        <v>-2.31</v>
      </c>
      <c r="F87" s="5">
        <v>0</v>
      </c>
      <c r="G87" s="5">
        <f t="shared" si="1"/>
        <v>16.690000000000001</v>
      </c>
    </row>
    <row r="88" spans="1:7" x14ac:dyDescent="0.25">
      <c r="A88" s="2">
        <v>44634</v>
      </c>
      <c r="B88" s="1" t="s">
        <v>9</v>
      </c>
      <c r="C88" s="1" t="s">
        <v>129</v>
      </c>
      <c r="D88" s="5">
        <v>39</v>
      </c>
      <c r="E88" s="5">
        <v>-4.53</v>
      </c>
      <c r="F88" s="5">
        <v>0</v>
      </c>
      <c r="G88" s="5">
        <f t="shared" si="1"/>
        <v>34.47</v>
      </c>
    </row>
    <row r="89" spans="1:7" x14ac:dyDescent="0.25">
      <c r="A89" s="2">
        <v>44634</v>
      </c>
      <c r="B89" s="1" t="s">
        <v>9</v>
      </c>
      <c r="C89" s="1" t="s">
        <v>130</v>
      </c>
      <c r="D89" s="5">
        <v>23.82</v>
      </c>
      <c r="E89" s="5">
        <v>-2.82</v>
      </c>
      <c r="F89" s="5">
        <v>0</v>
      </c>
      <c r="G89" s="5">
        <f t="shared" si="1"/>
        <v>21</v>
      </c>
    </row>
    <row r="90" spans="1:7" x14ac:dyDescent="0.25">
      <c r="A90" s="2">
        <v>44634</v>
      </c>
      <c r="B90" s="1" t="s">
        <v>9</v>
      </c>
      <c r="C90" s="1" t="s">
        <v>131</v>
      </c>
      <c r="D90" s="5">
        <v>45</v>
      </c>
      <c r="E90" s="5">
        <v>-5.0199999999999996</v>
      </c>
      <c r="F90" s="5">
        <v>0</v>
      </c>
      <c r="G90" s="5">
        <f t="shared" si="1"/>
        <v>39.980000000000004</v>
      </c>
    </row>
    <row r="91" spans="1:7" x14ac:dyDescent="0.25">
      <c r="A91" s="2">
        <v>44635</v>
      </c>
      <c r="B91" s="1" t="s">
        <v>9</v>
      </c>
      <c r="C91" s="1" t="s">
        <v>132</v>
      </c>
      <c r="D91" s="5">
        <v>80</v>
      </c>
      <c r="E91" s="5">
        <v>-8.77</v>
      </c>
      <c r="F91" s="5">
        <v>0</v>
      </c>
      <c r="G91" s="5">
        <f t="shared" si="1"/>
        <v>71.23</v>
      </c>
    </row>
    <row r="92" spans="1:7" x14ac:dyDescent="0.25">
      <c r="A92" s="2">
        <v>44635</v>
      </c>
      <c r="B92" s="1" t="s">
        <v>9</v>
      </c>
      <c r="C92" s="1" t="s">
        <v>133</v>
      </c>
      <c r="D92" s="5">
        <v>29</v>
      </c>
      <c r="E92" s="5">
        <v>-3.17</v>
      </c>
      <c r="F92" s="5">
        <v>0</v>
      </c>
      <c r="G92" s="5">
        <f t="shared" si="1"/>
        <v>25.83</v>
      </c>
    </row>
    <row r="93" spans="1:7" x14ac:dyDescent="0.25">
      <c r="A93" s="2">
        <v>44636</v>
      </c>
      <c r="B93" s="1" t="s">
        <v>9</v>
      </c>
      <c r="C93" s="1" t="s">
        <v>134</v>
      </c>
      <c r="D93" s="5">
        <v>30</v>
      </c>
      <c r="E93" s="5">
        <v>-3.43</v>
      </c>
      <c r="F93" s="5">
        <v>0</v>
      </c>
      <c r="G93" s="5">
        <f t="shared" si="1"/>
        <v>26.57</v>
      </c>
    </row>
    <row r="94" spans="1:7" x14ac:dyDescent="0.25">
      <c r="A94" s="2">
        <v>44637</v>
      </c>
      <c r="B94" s="1" t="s">
        <v>9</v>
      </c>
      <c r="C94" s="1" t="s">
        <v>135</v>
      </c>
      <c r="D94" s="5">
        <v>24</v>
      </c>
      <c r="E94" s="5">
        <v>-2.81</v>
      </c>
      <c r="F94" s="5">
        <v>0</v>
      </c>
      <c r="G94" s="5">
        <f t="shared" si="1"/>
        <v>21.19</v>
      </c>
    </row>
    <row r="95" spans="1:7" x14ac:dyDescent="0.25">
      <c r="A95" s="2">
        <v>44637</v>
      </c>
      <c r="B95" s="1" t="s">
        <v>9</v>
      </c>
      <c r="C95" s="1" t="s">
        <v>136</v>
      </c>
      <c r="D95" s="5">
        <v>69</v>
      </c>
      <c r="E95" s="5">
        <v>-7.8</v>
      </c>
      <c r="F95" s="5">
        <v>0</v>
      </c>
      <c r="G95" s="5">
        <f t="shared" si="1"/>
        <v>61.2</v>
      </c>
    </row>
    <row r="96" spans="1:7" x14ac:dyDescent="0.25">
      <c r="A96" s="2">
        <v>44641</v>
      </c>
      <c r="B96" s="1" t="s">
        <v>9</v>
      </c>
      <c r="C96" s="1" t="s">
        <v>137</v>
      </c>
      <c r="D96" s="5">
        <v>69</v>
      </c>
      <c r="E96" s="5">
        <v>-7.79</v>
      </c>
      <c r="F96" s="5">
        <v>0</v>
      </c>
      <c r="G96" s="5">
        <f t="shared" si="1"/>
        <v>61.21</v>
      </c>
    </row>
    <row r="97" spans="1:7" x14ac:dyDescent="0.25">
      <c r="A97" s="2">
        <v>44642</v>
      </c>
      <c r="B97" s="1" t="s">
        <v>9</v>
      </c>
      <c r="C97" s="1" t="s">
        <v>138</v>
      </c>
      <c r="D97" s="5">
        <v>29</v>
      </c>
      <c r="E97" s="5">
        <v>-3.43</v>
      </c>
      <c r="F97" s="5">
        <v>0</v>
      </c>
      <c r="G97" s="5">
        <f t="shared" si="1"/>
        <v>25.57</v>
      </c>
    </row>
    <row r="98" spans="1:7" x14ac:dyDescent="0.25">
      <c r="A98" s="2">
        <v>44642</v>
      </c>
      <c r="B98" s="1" t="s">
        <v>9</v>
      </c>
      <c r="C98" s="1" t="s">
        <v>139</v>
      </c>
      <c r="D98" s="5">
        <v>69</v>
      </c>
      <c r="E98" s="5">
        <v>-7.63</v>
      </c>
      <c r="F98" s="5">
        <v>0</v>
      </c>
      <c r="G98" s="5">
        <f t="shared" si="1"/>
        <v>61.37</v>
      </c>
    </row>
    <row r="99" spans="1:7" x14ac:dyDescent="0.25">
      <c r="A99" s="2">
        <v>44642</v>
      </c>
      <c r="B99" s="1" t="s">
        <v>9</v>
      </c>
      <c r="C99" s="1" t="s">
        <v>140</v>
      </c>
      <c r="D99" s="5">
        <v>19</v>
      </c>
      <c r="E99" s="5">
        <v>-2.2999999999999998</v>
      </c>
      <c r="F99" s="5">
        <v>0</v>
      </c>
      <c r="G99" s="5">
        <f t="shared" si="1"/>
        <v>16.7</v>
      </c>
    </row>
    <row r="100" spans="1:7" x14ac:dyDescent="0.25">
      <c r="A100" s="2">
        <v>44643</v>
      </c>
      <c r="B100" s="1" t="s">
        <v>9</v>
      </c>
      <c r="C100" s="1" t="s">
        <v>141</v>
      </c>
      <c r="D100" s="5">
        <v>49</v>
      </c>
      <c r="E100" s="5">
        <v>-5.44</v>
      </c>
      <c r="F100" s="5">
        <v>0</v>
      </c>
      <c r="G100" s="5">
        <f t="shared" si="1"/>
        <v>43.56</v>
      </c>
    </row>
    <row r="101" spans="1:7" x14ac:dyDescent="0.25">
      <c r="A101" s="2">
        <v>44643</v>
      </c>
      <c r="B101" s="1" t="s">
        <v>9</v>
      </c>
      <c r="C101" s="1" t="s">
        <v>142</v>
      </c>
      <c r="D101" s="5">
        <v>69.989999999999995</v>
      </c>
      <c r="E101" s="5">
        <v>-7.23</v>
      </c>
      <c r="F101" s="5">
        <v>0</v>
      </c>
      <c r="G101" s="5">
        <f t="shared" si="1"/>
        <v>62.759999999999991</v>
      </c>
    </row>
    <row r="102" spans="1:7" x14ac:dyDescent="0.25">
      <c r="A102" s="2">
        <v>44643</v>
      </c>
      <c r="B102" s="1" t="s">
        <v>9</v>
      </c>
      <c r="C102" s="1" t="s">
        <v>143</v>
      </c>
      <c r="D102" s="5">
        <v>129</v>
      </c>
      <c r="E102" s="5">
        <v>-14.36</v>
      </c>
      <c r="F102" s="5">
        <v>0</v>
      </c>
      <c r="G102" s="5">
        <f t="shared" si="1"/>
        <v>114.64</v>
      </c>
    </row>
    <row r="103" spans="1:7" x14ac:dyDescent="0.25">
      <c r="A103" s="2">
        <v>44644</v>
      </c>
      <c r="B103" s="1" t="s">
        <v>9</v>
      </c>
      <c r="C103" s="1" t="s">
        <v>144</v>
      </c>
      <c r="D103" s="5">
        <v>75</v>
      </c>
      <c r="E103" s="5">
        <v>-8.24</v>
      </c>
      <c r="F103" s="5">
        <v>0</v>
      </c>
      <c r="G103" s="5">
        <f t="shared" si="1"/>
        <v>66.760000000000005</v>
      </c>
    </row>
    <row r="104" spans="1:7" x14ac:dyDescent="0.25">
      <c r="A104" s="2">
        <v>44644</v>
      </c>
      <c r="B104" s="1" t="s">
        <v>9</v>
      </c>
      <c r="C104" s="1" t="s">
        <v>145</v>
      </c>
      <c r="D104" s="5">
        <v>19</v>
      </c>
      <c r="E104" s="5">
        <v>-2.4900000000000002</v>
      </c>
      <c r="F104" s="5">
        <v>0</v>
      </c>
      <c r="G104" s="5">
        <f t="shared" si="1"/>
        <v>16.509999999999998</v>
      </c>
    </row>
    <row r="105" spans="1:7" x14ac:dyDescent="0.25">
      <c r="A105" s="2">
        <v>44645</v>
      </c>
      <c r="B105" s="1" t="s">
        <v>9</v>
      </c>
      <c r="C105" s="1" t="s">
        <v>146</v>
      </c>
      <c r="D105" s="5">
        <v>40</v>
      </c>
      <c r="E105" s="5">
        <v>-4.26</v>
      </c>
      <c r="F105" s="5">
        <v>0</v>
      </c>
      <c r="G105" s="5">
        <f t="shared" si="1"/>
        <v>35.74</v>
      </c>
    </row>
    <row r="106" spans="1:7" x14ac:dyDescent="0.25">
      <c r="A106" s="2">
        <v>44647</v>
      </c>
      <c r="B106" s="1" t="s">
        <v>9</v>
      </c>
      <c r="C106" s="1" t="s">
        <v>147</v>
      </c>
      <c r="D106" s="5">
        <v>39</v>
      </c>
      <c r="E106" s="5">
        <v>-4.3899999999999997</v>
      </c>
      <c r="F106" s="5">
        <v>0</v>
      </c>
      <c r="G106" s="5">
        <f t="shared" si="1"/>
        <v>34.61</v>
      </c>
    </row>
    <row r="107" spans="1:7" x14ac:dyDescent="0.25">
      <c r="A107" s="2">
        <v>44647</v>
      </c>
      <c r="B107" s="1" t="s">
        <v>9</v>
      </c>
      <c r="C107" s="1" t="s">
        <v>148</v>
      </c>
      <c r="D107" s="5">
        <v>30</v>
      </c>
      <c r="E107" s="5">
        <v>-3.49</v>
      </c>
      <c r="F107" s="5">
        <v>0</v>
      </c>
      <c r="G107" s="5">
        <f t="shared" si="1"/>
        <v>26.509999999999998</v>
      </c>
    </row>
    <row r="108" spans="1:7" x14ac:dyDescent="0.25">
      <c r="A108" s="2">
        <v>44648</v>
      </c>
      <c r="B108" s="1" t="s">
        <v>9</v>
      </c>
      <c r="C108" s="1" t="s">
        <v>149</v>
      </c>
      <c r="D108" s="5">
        <v>30</v>
      </c>
      <c r="E108" s="5">
        <v>-3.52</v>
      </c>
      <c r="F108" s="5">
        <v>0</v>
      </c>
      <c r="G108" s="5">
        <f t="shared" si="1"/>
        <v>26.48</v>
      </c>
    </row>
    <row r="109" spans="1:7" x14ac:dyDescent="0.25">
      <c r="A109" s="2">
        <v>44648</v>
      </c>
      <c r="B109" s="1" t="s">
        <v>9</v>
      </c>
      <c r="C109" s="1" t="s">
        <v>150</v>
      </c>
      <c r="D109" s="5">
        <v>135</v>
      </c>
      <c r="E109" s="5">
        <v>-14.19</v>
      </c>
      <c r="F109" s="5">
        <v>0</v>
      </c>
      <c r="G109" s="5">
        <f t="shared" si="1"/>
        <v>120.81</v>
      </c>
    </row>
    <row r="110" spans="1:7" x14ac:dyDescent="0.25">
      <c r="A110" s="2">
        <v>44648</v>
      </c>
      <c r="B110" s="1" t="s">
        <v>9</v>
      </c>
      <c r="C110" s="1" t="s">
        <v>151</v>
      </c>
      <c r="D110" s="5">
        <v>40</v>
      </c>
      <c r="E110" s="5">
        <v>-4.55</v>
      </c>
      <c r="F110" s="5">
        <v>0</v>
      </c>
      <c r="G110" s="5">
        <f t="shared" si="1"/>
        <v>35.450000000000003</v>
      </c>
    </row>
    <row r="111" spans="1:7" x14ac:dyDescent="0.25">
      <c r="A111" s="2">
        <v>44649</v>
      </c>
      <c r="B111" s="1" t="s">
        <v>9</v>
      </c>
      <c r="C111" s="1" t="s">
        <v>152</v>
      </c>
      <c r="D111" s="5">
        <v>15</v>
      </c>
      <c r="E111" s="5">
        <v>-1.93</v>
      </c>
      <c r="F111" s="5">
        <v>0</v>
      </c>
      <c r="G111" s="5">
        <f t="shared" si="1"/>
        <v>13.07</v>
      </c>
    </row>
    <row r="112" spans="1:7" x14ac:dyDescent="0.25">
      <c r="A112" s="2">
        <v>44649</v>
      </c>
      <c r="B112" s="1" t="s">
        <v>9</v>
      </c>
      <c r="C112" s="1" t="s">
        <v>153</v>
      </c>
      <c r="D112" s="5">
        <v>25</v>
      </c>
      <c r="E112" s="5">
        <v>-2.95</v>
      </c>
      <c r="F112" s="5">
        <v>0</v>
      </c>
      <c r="G112" s="5">
        <f t="shared" si="1"/>
        <v>22.05</v>
      </c>
    </row>
    <row r="113" spans="1:7" x14ac:dyDescent="0.25">
      <c r="A113" s="2">
        <v>44652</v>
      </c>
      <c r="B113" s="1" t="s">
        <v>9</v>
      </c>
      <c r="C113" s="1" t="s">
        <v>154</v>
      </c>
      <c r="D113" s="5">
        <v>19</v>
      </c>
      <c r="E113" s="5">
        <v>-2.31</v>
      </c>
      <c r="F113" s="5">
        <v>0</v>
      </c>
      <c r="G113" s="5">
        <f t="shared" si="1"/>
        <v>16.690000000000001</v>
      </c>
    </row>
    <row r="114" spans="1:7" x14ac:dyDescent="0.25">
      <c r="A114" s="2">
        <v>44652</v>
      </c>
      <c r="B114" s="1" t="s">
        <v>9</v>
      </c>
      <c r="C114" s="1" t="s">
        <v>155</v>
      </c>
      <c r="D114" s="5">
        <v>25</v>
      </c>
      <c r="E114" s="5">
        <v>-2.94</v>
      </c>
      <c r="F114" s="5">
        <v>0</v>
      </c>
      <c r="G114" s="5">
        <f t="shared" si="1"/>
        <v>22.06</v>
      </c>
    </row>
    <row r="115" spans="1:7" x14ac:dyDescent="0.25">
      <c r="A115" s="2">
        <v>44652</v>
      </c>
      <c r="B115" s="1" t="s">
        <v>9</v>
      </c>
      <c r="C115" s="1" t="s">
        <v>156</v>
      </c>
      <c r="D115" s="5">
        <v>17</v>
      </c>
      <c r="E115" s="5">
        <v>-2.1</v>
      </c>
      <c r="F115" s="5">
        <v>0</v>
      </c>
      <c r="G115" s="5">
        <f t="shared" si="1"/>
        <v>14.9</v>
      </c>
    </row>
    <row r="116" spans="1:7" x14ac:dyDescent="0.25">
      <c r="A116" s="2">
        <v>44654</v>
      </c>
      <c r="B116" s="1" t="s">
        <v>9</v>
      </c>
      <c r="C116" s="1" t="s">
        <v>157</v>
      </c>
      <c r="D116" s="5">
        <v>25</v>
      </c>
      <c r="E116" s="5">
        <v>-3.01</v>
      </c>
      <c r="F116" s="5">
        <v>0</v>
      </c>
      <c r="G116" s="5">
        <f t="shared" si="1"/>
        <v>21.990000000000002</v>
      </c>
    </row>
    <row r="117" spans="1:7" x14ac:dyDescent="0.25">
      <c r="A117" s="2">
        <v>44655</v>
      </c>
      <c r="B117" s="1" t="s">
        <v>9</v>
      </c>
      <c r="C117" s="1" t="s">
        <v>158</v>
      </c>
      <c r="D117" s="5">
        <v>125</v>
      </c>
      <c r="E117" s="5">
        <v>-13.51</v>
      </c>
      <c r="F117" s="5">
        <v>-125</v>
      </c>
      <c r="G117" s="5">
        <f t="shared" si="1"/>
        <v>111.49</v>
      </c>
    </row>
    <row r="118" spans="1:7" x14ac:dyDescent="0.25">
      <c r="A118" s="2">
        <v>44655</v>
      </c>
      <c r="B118" s="1" t="s">
        <v>9</v>
      </c>
      <c r="C118" s="1" t="s">
        <v>159</v>
      </c>
      <c r="D118" s="5">
        <v>69</v>
      </c>
      <c r="E118" s="5">
        <v>-7.65</v>
      </c>
      <c r="F118" s="5">
        <v>0</v>
      </c>
      <c r="G118" s="5">
        <f t="shared" si="1"/>
        <v>61.35</v>
      </c>
    </row>
    <row r="119" spans="1:7" x14ac:dyDescent="0.25">
      <c r="A119" s="2">
        <v>44655</v>
      </c>
      <c r="B119" s="1" t="s">
        <v>9</v>
      </c>
      <c r="C119" s="1" t="s">
        <v>160</v>
      </c>
      <c r="D119" s="5">
        <v>125</v>
      </c>
      <c r="E119" s="5">
        <v>-13.42</v>
      </c>
      <c r="F119" s="5">
        <v>0</v>
      </c>
      <c r="G119" s="5">
        <f t="shared" si="1"/>
        <v>111.58</v>
      </c>
    </row>
    <row r="120" spans="1:7" x14ac:dyDescent="0.25">
      <c r="A120" s="2">
        <v>44655</v>
      </c>
      <c r="B120" s="1" t="s">
        <v>9</v>
      </c>
      <c r="C120" s="1" t="s">
        <v>11</v>
      </c>
      <c r="D120" s="5">
        <v>89</v>
      </c>
      <c r="E120" s="5">
        <v>-9.82</v>
      </c>
      <c r="F120" s="5">
        <v>0</v>
      </c>
      <c r="G120" s="5">
        <f t="shared" si="1"/>
        <v>79.180000000000007</v>
      </c>
    </row>
    <row r="121" spans="1:7" x14ac:dyDescent="0.25">
      <c r="A121" s="2">
        <v>44655</v>
      </c>
      <c r="B121" s="1" t="s">
        <v>9</v>
      </c>
      <c r="C121" s="1" t="s">
        <v>161</v>
      </c>
      <c r="D121" s="5">
        <v>59</v>
      </c>
      <c r="E121" s="5">
        <v>-6.54</v>
      </c>
      <c r="F121" s="5">
        <v>0</v>
      </c>
      <c r="G121" s="5">
        <f t="shared" si="1"/>
        <v>52.46</v>
      </c>
    </row>
    <row r="122" spans="1:7" x14ac:dyDescent="0.25">
      <c r="A122" s="2">
        <v>44655</v>
      </c>
      <c r="B122" s="1" t="s">
        <v>9</v>
      </c>
      <c r="C122" s="1" t="s">
        <v>162</v>
      </c>
      <c r="D122" s="5">
        <v>30</v>
      </c>
      <c r="E122" s="5">
        <v>-3.49</v>
      </c>
      <c r="F122" s="5">
        <v>0</v>
      </c>
      <c r="G122" s="5">
        <f t="shared" si="1"/>
        <v>26.509999999999998</v>
      </c>
    </row>
    <row r="123" spans="1:7" x14ac:dyDescent="0.25">
      <c r="A123" s="2">
        <v>44656</v>
      </c>
      <c r="B123" s="1" t="s">
        <v>9</v>
      </c>
      <c r="C123" s="1" t="s">
        <v>163</v>
      </c>
      <c r="D123" s="5">
        <v>19</v>
      </c>
      <c r="E123" s="5">
        <v>-2.35</v>
      </c>
      <c r="F123" s="5">
        <v>0</v>
      </c>
      <c r="G123" s="5">
        <f t="shared" si="1"/>
        <v>16.649999999999999</v>
      </c>
    </row>
    <row r="124" spans="1:7" x14ac:dyDescent="0.25">
      <c r="A124" s="2">
        <v>44656</v>
      </c>
      <c r="B124" s="1" t="s">
        <v>9</v>
      </c>
      <c r="C124" s="1" t="s">
        <v>164</v>
      </c>
      <c r="D124" s="5">
        <v>25</v>
      </c>
      <c r="E124" s="5">
        <v>-2.98</v>
      </c>
      <c r="F124" s="5">
        <v>0</v>
      </c>
      <c r="G124" s="5">
        <f t="shared" si="1"/>
        <v>22.02</v>
      </c>
    </row>
    <row r="125" spans="1:7" x14ac:dyDescent="0.25">
      <c r="A125" s="2">
        <v>44657</v>
      </c>
      <c r="B125" s="1" t="s">
        <v>9</v>
      </c>
      <c r="C125" s="1" t="s">
        <v>165</v>
      </c>
      <c r="D125" s="5">
        <v>39</v>
      </c>
      <c r="E125" s="5">
        <v>-4.3899999999999997</v>
      </c>
      <c r="F125" s="5">
        <v>0</v>
      </c>
      <c r="G125" s="5">
        <f t="shared" si="1"/>
        <v>34.61</v>
      </c>
    </row>
    <row r="126" spans="1:7" x14ac:dyDescent="0.25">
      <c r="A126" s="2">
        <v>44657</v>
      </c>
      <c r="B126" s="1" t="s">
        <v>9</v>
      </c>
      <c r="C126" s="1" t="s">
        <v>166</v>
      </c>
      <c r="D126" s="5">
        <v>14</v>
      </c>
      <c r="E126" s="5">
        <v>-1.69</v>
      </c>
      <c r="F126" s="5">
        <v>0</v>
      </c>
      <c r="G126" s="5">
        <f t="shared" si="1"/>
        <v>12.31</v>
      </c>
    </row>
    <row r="127" spans="1:7" x14ac:dyDescent="0.25">
      <c r="A127" s="2">
        <v>44657</v>
      </c>
      <c r="B127" s="1" t="s">
        <v>9</v>
      </c>
      <c r="C127" s="1" t="s">
        <v>167</v>
      </c>
      <c r="D127" s="5">
        <v>40</v>
      </c>
      <c r="E127" s="5">
        <v>-4.54</v>
      </c>
      <c r="F127" s="5">
        <v>0</v>
      </c>
      <c r="G127" s="5">
        <f t="shared" si="1"/>
        <v>35.46</v>
      </c>
    </row>
    <row r="128" spans="1:7" x14ac:dyDescent="0.25">
      <c r="A128" s="2">
        <v>44658</v>
      </c>
      <c r="B128" s="1" t="s">
        <v>9</v>
      </c>
      <c r="C128" s="1" t="s">
        <v>168</v>
      </c>
      <c r="D128" s="5">
        <v>65</v>
      </c>
      <c r="E128" s="5">
        <v>-7.23</v>
      </c>
      <c r="F128" s="5">
        <v>0</v>
      </c>
      <c r="G128" s="5">
        <f t="shared" si="1"/>
        <v>57.769999999999996</v>
      </c>
    </row>
    <row r="129" spans="1:7" x14ac:dyDescent="0.25">
      <c r="A129" s="2">
        <v>44658</v>
      </c>
      <c r="B129" s="1" t="s">
        <v>9</v>
      </c>
      <c r="C129" s="1" t="s">
        <v>169</v>
      </c>
      <c r="D129" s="5">
        <v>19</v>
      </c>
      <c r="E129" s="5">
        <v>-2.1800000000000002</v>
      </c>
      <c r="F129" s="5">
        <v>0</v>
      </c>
      <c r="G129" s="5">
        <f t="shared" si="1"/>
        <v>16.82</v>
      </c>
    </row>
    <row r="130" spans="1:7" x14ac:dyDescent="0.25">
      <c r="A130" s="2">
        <v>44658</v>
      </c>
      <c r="B130" s="1" t="s">
        <v>9</v>
      </c>
      <c r="C130" s="1" t="s">
        <v>170</v>
      </c>
      <c r="D130" s="5">
        <v>45</v>
      </c>
      <c r="E130" s="5">
        <v>-5.04</v>
      </c>
      <c r="F130" s="5">
        <v>0</v>
      </c>
      <c r="G130" s="5">
        <f t="shared" si="1"/>
        <v>39.96</v>
      </c>
    </row>
    <row r="131" spans="1:7" x14ac:dyDescent="0.25">
      <c r="A131" s="2">
        <v>44659</v>
      </c>
      <c r="B131" s="1" t="s">
        <v>9</v>
      </c>
      <c r="C131" s="1" t="s">
        <v>171</v>
      </c>
      <c r="D131" s="5">
        <v>29</v>
      </c>
      <c r="E131" s="5">
        <v>-3.4</v>
      </c>
      <c r="F131" s="5">
        <v>0</v>
      </c>
      <c r="G131" s="5">
        <f t="shared" ref="G131:G194" si="2">D131+E131</f>
        <v>25.6</v>
      </c>
    </row>
    <row r="132" spans="1:7" x14ac:dyDescent="0.25">
      <c r="A132" s="2">
        <v>44662</v>
      </c>
      <c r="B132" s="1" t="s">
        <v>9</v>
      </c>
      <c r="C132" s="1" t="s">
        <v>172</v>
      </c>
      <c r="D132" s="5">
        <v>39</v>
      </c>
      <c r="E132" s="5">
        <v>-4.41</v>
      </c>
      <c r="F132" s="5">
        <v>0</v>
      </c>
      <c r="G132" s="5">
        <f t="shared" si="2"/>
        <v>34.590000000000003</v>
      </c>
    </row>
    <row r="133" spans="1:7" x14ac:dyDescent="0.25">
      <c r="A133" s="2">
        <v>44662</v>
      </c>
      <c r="B133" s="1" t="s">
        <v>9</v>
      </c>
      <c r="C133" s="1" t="s">
        <v>173</v>
      </c>
      <c r="D133" s="5">
        <v>39</v>
      </c>
      <c r="E133" s="5">
        <v>-4.49</v>
      </c>
      <c r="F133" s="5">
        <v>0</v>
      </c>
      <c r="G133" s="5">
        <f t="shared" si="2"/>
        <v>34.51</v>
      </c>
    </row>
    <row r="134" spans="1:7" x14ac:dyDescent="0.25">
      <c r="A134" s="2">
        <v>44662</v>
      </c>
      <c r="B134" s="1" t="s">
        <v>9</v>
      </c>
      <c r="C134" s="1" t="s">
        <v>174</v>
      </c>
      <c r="D134" s="5">
        <v>49</v>
      </c>
      <c r="E134" s="5">
        <v>-5.54</v>
      </c>
      <c r="F134" s="5">
        <v>0</v>
      </c>
      <c r="G134" s="5">
        <f t="shared" si="2"/>
        <v>43.46</v>
      </c>
    </row>
    <row r="135" spans="1:7" x14ac:dyDescent="0.25">
      <c r="A135" s="2">
        <v>44662</v>
      </c>
      <c r="B135" s="1" t="s">
        <v>9</v>
      </c>
      <c r="C135" s="1" t="s">
        <v>175</v>
      </c>
      <c r="D135" s="5">
        <v>19</v>
      </c>
      <c r="E135" s="5">
        <v>-2.1800000000000002</v>
      </c>
      <c r="F135" s="5">
        <v>0</v>
      </c>
      <c r="G135" s="5">
        <f t="shared" si="2"/>
        <v>16.82</v>
      </c>
    </row>
    <row r="136" spans="1:7" x14ac:dyDescent="0.25">
      <c r="A136" s="2">
        <v>44663</v>
      </c>
      <c r="B136" s="1" t="s">
        <v>9</v>
      </c>
      <c r="C136" s="1" t="s">
        <v>176</v>
      </c>
      <c r="D136" s="5">
        <v>39</v>
      </c>
      <c r="E136" s="5">
        <v>-4.4000000000000004</v>
      </c>
      <c r="F136" s="5">
        <v>0</v>
      </c>
      <c r="G136" s="5">
        <f t="shared" si="2"/>
        <v>34.6</v>
      </c>
    </row>
    <row r="137" spans="1:7" x14ac:dyDescent="0.25">
      <c r="A137" s="2">
        <v>44663</v>
      </c>
      <c r="B137" s="1" t="s">
        <v>9</v>
      </c>
      <c r="C137" s="1" t="s">
        <v>177</v>
      </c>
      <c r="D137" s="5">
        <v>25</v>
      </c>
      <c r="E137" s="5">
        <v>-2.78</v>
      </c>
      <c r="F137" s="5">
        <v>0</v>
      </c>
      <c r="G137" s="5">
        <f t="shared" si="2"/>
        <v>22.22</v>
      </c>
    </row>
    <row r="138" spans="1:7" x14ac:dyDescent="0.25">
      <c r="A138" s="2">
        <v>44663</v>
      </c>
      <c r="B138" s="1" t="s">
        <v>9</v>
      </c>
      <c r="C138" s="1" t="s">
        <v>178</v>
      </c>
      <c r="D138" s="5">
        <v>39</v>
      </c>
      <c r="E138" s="5">
        <v>-4.46</v>
      </c>
      <c r="F138" s="5">
        <v>0</v>
      </c>
      <c r="G138" s="5">
        <f t="shared" si="2"/>
        <v>34.54</v>
      </c>
    </row>
    <row r="139" spans="1:7" x14ac:dyDescent="0.25">
      <c r="A139" s="2">
        <v>44664</v>
      </c>
      <c r="B139" s="1" t="s">
        <v>9</v>
      </c>
      <c r="C139" s="1" t="s">
        <v>179</v>
      </c>
      <c r="D139" s="5">
        <v>59.25</v>
      </c>
      <c r="E139" s="5">
        <v>-6.74</v>
      </c>
      <c r="F139" s="5">
        <v>0</v>
      </c>
      <c r="G139" s="5">
        <f t="shared" si="2"/>
        <v>52.51</v>
      </c>
    </row>
    <row r="140" spans="1:7" x14ac:dyDescent="0.25">
      <c r="A140" s="2">
        <v>44664</v>
      </c>
      <c r="B140" s="1" t="s">
        <v>9</v>
      </c>
      <c r="C140" s="1" t="s">
        <v>180</v>
      </c>
      <c r="D140" s="5">
        <v>159</v>
      </c>
      <c r="E140" s="5">
        <v>-17.12</v>
      </c>
      <c r="F140" s="5">
        <v>0</v>
      </c>
      <c r="G140" s="5">
        <f t="shared" si="2"/>
        <v>141.88</v>
      </c>
    </row>
    <row r="141" spans="1:7" x14ac:dyDescent="0.25">
      <c r="A141" s="2">
        <v>44665</v>
      </c>
      <c r="B141" s="1" t="s">
        <v>9</v>
      </c>
      <c r="C141" s="1" t="s">
        <v>181</v>
      </c>
      <c r="D141" s="5">
        <v>29</v>
      </c>
      <c r="E141" s="5">
        <v>-3.41</v>
      </c>
      <c r="F141" s="5">
        <v>0</v>
      </c>
      <c r="G141" s="5">
        <f t="shared" si="2"/>
        <v>25.59</v>
      </c>
    </row>
    <row r="142" spans="1:7" x14ac:dyDescent="0.25">
      <c r="A142" s="2">
        <v>44666</v>
      </c>
      <c r="B142" s="1" t="s">
        <v>9</v>
      </c>
      <c r="C142" s="1" t="s">
        <v>182</v>
      </c>
      <c r="D142" s="5">
        <v>19</v>
      </c>
      <c r="E142" s="5">
        <v>-2.1800000000000002</v>
      </c>
      <c r="F142" s="5">
        <v>0</v>
      </c>
      <c r="G142" s="5">
        <f t="shared" si="2"/>
        <v>16.82</v>
      </c>
    </row>
    <row r="143" spans="1:7" x14ac:dyDescent="0.25">
      <c r="A143" s="2">
        <v>44666</v>
      </c>
      <c r="B143" s="1" t="s">
        <v>9</v>
      </c>
      <c r="C143" s="1" t="s">
        <v>183</v>
      </c>
      <c r="D143" s="5">
        <v>9.99</v>
      </c>
      <c r="E143" s="5">
        <v>-1.54</v>
      </c>
      <c r="F143" s="5">
        <v>0</v>
      </c>
      <c r="G143" s="5">
        <f t="shared" si="2"/>
        <v>8.4499999999999993</v>
      </c>
    </row>
    <row r="144" spans="1:7" x14ac:dyDescent="0.25">
      <c r="A144" s="2">
        <v>44666</v>
      </c>
      <c r="B144" s="1" t="s">
        <v>9</v>
      </c>
      <c r="C144" s="1" t="s">
        <v>184</v>
      </c>
      <c r="D144" s="5">
        <v>35</v>
      </c>
      <c r="E144" s="5">
        <v>-3.97</v>
      </c>
      <c r="F144" s="5">
        <v>0</v>
      </c>
      <c r="G144" s="5">
        <f t="shared" si="2"/>
        <v>31.03</v>
      </c>
    </row>
    <row r="145" spans="1:7" x14ac:dyDescent="0.25">
      <c r="A145" s="2">
        <v>44666</v>
      </c>
      <c r="B145" s="1" t="s">
        <v>9</v>
      </c>
      <c r="C145" s="1" t="s">
        <v>185</v>
      </c>
      <c r="D145" s="5">
        <v>29</v>
      </c>
      <c r="E145" s="5">
        <v>-3.17</v>
      </c>
      <c r="F145" s="5">
        <v>0</v>
      </c>
      <c r="G145" s="5">
        <f t="shared" si="2"/>
        <v>25.83</v>
      </c>
    </row>
    <row r="146" spans="1:7" x14ac:dyDescent="0.25">
      <c r="A146" s="2">
        <v>44669</v>
      </c>
      <c r="B146" s="1" t="s">
        <v>9</v>
      </c>
      <c r="C146" s="1" t="s">
        <v>186</v>
      </c>
      <c r="D146" s="5">
        <v>15</v>
      </c>
      <c r="E146" s="5">
        <v>-1.9</v>
      </c>
      <c r="F146" s="5">
        <v>0</v>
      </c>
      <c r="G146" s="5">
        <f t="shared" si="2"/>
        <v>13.1</v>
      </c>
    </row>
    <row r="147" spans="1:7" x14ac:dyDescent="0.25">
      <c r="A147" s="2">
        <v>44669</v>
      </c>
      <c r="B147" s="1" t="s">
        <v>9</v>
      </c>
      <c r="C147" s="1" t="s">
        <v>187</v>
      </c>
      <c r="D147" s="5">
        <v>19</v>
      </c>
      <c r="E147" s="5">
        <v>-2.31</v>
      </c>
      <c r="F147" s="5">
        <v>0</v>
      </c>
      <c r="G147" s="5">
        <f t="shared" si="2"/>
        <v>16.690000000000001</v>
      </c>
    </row>
    <row r="148" spans="1:7" x14ac:dyDescent="0.25">
      <c r="A148" s="2">
        <v>44669</v>
      </c>
      <c r="B148" s="1" t="s">
        <v>9</v>
      </c>
      <c r="C148" s="1" t="s">
        <v>188</v>
      </c>
      <c r="D148" s="5">
        <v>39</v>
      </c>
      <c r="E148" s="5">
        <v>-4.47</v>
      </c>
      <c r="F148" s="5">
        <v>0</v>
      </c>
      <c r="G148" s="5">
        <f t="shared" si="2"/>
        <v>34.53</v>
      </c>
    </row>
    <row r="149" spans="1:7" x14ac:dyDescent="0.25">
      <c r="A149" s="2">
        <v>44669</v>
      </c>
      <c r="B149" s="1" t="s">
        <v>9</v>
      </c>
      <c r="C149" s="1" t="s">
        <v>189</v>
      </c>
      <c r="D149" s="5">
        <v>25</v>
      </c>
      <c r="E149" s="5">
        <v>-2.98</v>
      </c>
      <c r="F149" s="5">
        <v>0</v>
      </c>
      <c r="G149" s="5">
        <f t="shared" si="2"/>
        <v>22.02</v>
      </c>
    </row>
    <row r="150" spans="1:7" x14ac:dyDescent="0.25">
      <c r="A150" s="2">
        <v>44670</v>
      </c>
      <c r="B150" s="1" t="s">
        <v>9</v>
      </c>
      <c r="C150" s="1" t="s">
        <v>190</v>
      </c>
      <c r="D150" s="5">
        <v>39</v>
      </c>
      <c r="E150" s="5">
        <v>-4.41</v>
      </c>
      <c r="F150" s="5">
        <v>0</v>
      </c>
      <c r="G150" s="5">
        <f t="shared" si="2"/>
        <v>34.590000000000003</v>
      </c>
    </row>
    <row r="151" spans="1:7" x14ac:dyDescent="0.25">
      <c r="A151" s="2">
        <v>44670</v>
      </c>
      <c r="B151" s="1" t="s">
        <v>9</v>
      </c>
      <c r="C151" s="1" t="s">
        <v>191</v>
      </c>
      <c r="D151" s="5">
        <v>29</v>
      </c>
      <c r="E151" s="5">
        <v>-3.4</v>
      </c>
      <c r="F151" s="5">
        <v>0</v>
      </c>
      <c r="G151" s="5">
        <f t="shared" si="2"/>
        <v>25.6</v>
      </c>
    </row>
    <row r="152" spans="1:7" x14ac:dyDescent="0.25">
      <c r="A152" s="2">
        <v>44670</v>
      </c>
      <c r="B152" s="1" t="s">
        <v>9</v>
      </c>
      <c r="C152" s="1" t="s">
        <v>192</v>
      </c>
      <c r="D152" s="5">
        <v>9</v>
      </c>
      <c r="E152" s="5">
        <v>-1.26</v>
      </c>
      <c r="F152" s="5">
        <v>0</v>
      </c>
      <c r="G152" s="5">
        <f t="shared" si="2"/>
        <v>7.74</v>
      </c>
    </row>
    <row r="153" spans="1:7" x14ac:dyDescent="0.25">
      <c r="A153" s="2">
        <v>44670</v>
      </c>
      <c r="B153" s="1" t="s">
        <v>9</v>
      </c>
      <c r="C153" s="1" t="s">
        <v>193</v>
      </c>
      <c r="D153" s="5">
        <v>89</v>
      </c>
      <c r="E153" s="5">
        <v>-9.91</v>
      </c>
      <c r="F153" s="5">
        <v>0</v>
      </c>
      <c r="G153" s="5">
        <f t="shared" si="2"/>
        <v>79.09</v>
      </c>
    </row>
    <row r="154" spans="1:7" x14ac:dyDescent="0.25">
      <c r="A154" s="2">
        <v>44670</v>
      </c>
      <c r="B154" s="1" t="s">
        <v>9</v>
      </c>
      <c r="C154" s="1" t="s">
        <v>190</v>
      </c>
      <c r="D154" s="5">
        <v>39</v>
      </c>
      <c r="E154" s="5">
        <v>-4.6100000000000003</v>
      </c>
      <c r="F154" s="5">
        <v>-39</v>
      </c>
      <c r="G154" s="5">
        <f t="shared" si="2"/>
        <v>34.39</v>
      </c>
    </row>
    <row r="155" spans="1:7" x14ac:dyDescent="0.25">
      <c r="A155" s="2">
        <v>44670</v>
      </c>
      <c r="B155" s="1" t="s">
        <v>9</v>
      </c>
      <c r="C155" s="1" t="s">
        <v>194</v>
      </c>
      <c r="D155" s="5">
        <v>9</v>
      </c>
      <c r="E155" s="5">
        <v>-1.27</v>
      </c>
      <c r="F155" s="5">
        <v>0</v>
      </c>
      <c r="G155" s="5">
        <f t="shared" si="2"/>
        <v>7.73</v>
      </c>
    </row>
    <row r="156" spans="1:7" x14ac:dyDescent="0.25">
      <c r="A156" s="2">
        <v>44671</v>
      </c>
      <c r="B156" s="1" t="s">
        <v>9</v>
      </c>
      <c r="C156" s="1" t="s">
        <v>160</v>
      </c>
      <c r="D156" s="5">
        <v>120</v>
      </c>
      <c r="E156" s="5">
        <v>-13.16</v>
      </c>
      <c r="F156" s="5">
        <v>0</v>
      </c>
      <c r="G156" s="5">
        <f t="shared" si="2"/>
        <v>106.84</v>
      </c>
    </row>
    <row r="157" spans="1:7" x14ac:dyDescent="0.25">
      <c r="A157" s="2">
        <v>44671</v>
      </c>
      <c r="B157" s="1" t="s">
        <v>9</v>
      </c>
      <c r="C157" s="1" t="s">
        <v>195</v>
      </c>
      <c r="D157" s="5">
        <v>15</v>
      </c>
      <c r="E157" s="5">
        <v>-1.9</v>
      </c>
      <c r="F157" s="5">
        <v>0</v>
      </c>
      <c r="G157" s="5">
        <f t="shared" si="2"/>
        <v>13.1</v>
      </c>
    </row>
    <row r="158" spans="1:7" x14ac:dyDescent="0.25">
      <c r="A158" s="2">
        <v>44673</v>
      </c>
      <c r="B158" s="1" t="s">
        <v>9</v>
      </c>
      <c r="C158" s="1" t="s">
        <v>196</v>
      </c>
      <c r="D158" s="5">
        <v>29</v>
      </c>
      <c r="E158" s="5">
        <v>-3.44</v>
      </c>
      <c r="F158" s="5">
        <v>0</v>
      </c>
      <c r="G158" s="5">
        <f t="shared" si="2"/>
        <v>25.56</v>
      </c>
    </row>
    <row r="159" spans="1:7" x14ac:dyDescent="0.25">
      <c r="A159" s="2">
        <v>44676</v>
      </c>
      <c r="B159" s="1" t="s">
        <v>9</v>
      </c>
      <c r="C159" s="1" t="s">
        <v>186</v>
      </c>
      <c r="D159" s="5">
        <v>19</v>
      </c>
      <c r="E159" s="5">
        <v>-2.33</v>
      </c>
      <c r="F159" s="5">
        <v>0</v>
      </c>
      <c r="G159" s="5">
        <f t="shared" si="2"/>
        <v>16.670000000000002</v>
      </c>
    </row>
    <row r="160" spans="1:7" x14ac:dyDescent="0.25">
      <c r="A160" s="2">
        <v>44676</v>
      </c>
      <c r="B160" s="1" t="s">
        <v>9</v>
      </c>
      <c r="C160" s="1" t="s">
        <v>197</v>
      </c>
      <c r="D160" s="5">
        <v>10</v>
      </c>
      <c r="E160" s="5">
        <v>-1.35</v>
      </c>
      <c r="F160" s="5">
        <v>0</v>
      </c>
      <c r="G160" s="5">
        <f t="shared" si="2"/>
        <v>8.65</v>
      </c>
    </row>
    <row r="161" spans="1:7" x14ac:dyDescent="0.25">
      <c r="A161" s="2">
        <v>44676</v>
      </c>
      <c r="B161" s="1" t="s">
        <v>9</v>
      </c>
      <c r="C161" s="1" t="s">
        <v>198</v>
      </c>
      <c r="D161" s="5">
        <v>99</v>
      </c>
      <c r="E161" s="5">
        <v>-11.08</v>
      </c>
      <c r="F161" s="5">
        <v>0</v>
      </c>
      <c r="G161" s="5">
        <f t="shared" si="2"/>
        <v>87.92</v>
      </c>
    </row>
    <row r="162" spans="1:7" x14ac:dyDescent="0.25">
      <c r="A162" s="2">
        <v>44676</v>
      </c>
      <c r="B162" s="1" t="s">
        <v>9</v>
      </c>
      <c r="C162" s="1" t="s">
        <v>199</v>
      </c>
      <c r="D162" s="5">
        <v>29</v>
      </c>
      <c r="E162" s="5">
        <v>-3.37</v>
      </c>
      <c r="F162" s="5">
        <v>0</v>
      </c>
      <c r="G162" s="5">
        <f t="shared" si="2"/>
        <v>25.63</v>
      </c>
    </row>
    <row r="163" spans="1:7" x14ac:dyDescent="0.25">
      <c r="A163" s="2">
        <v>44676</v>
      </c>
      <c r="B163" s="1" t="s">
        <v>9</v>
      </c>
      <c r="C163" s="1" t="s">
        <v>200</v>
      </c>
      <c r="D163" s="5">
        <v>49</v>
      </c>
      <c r="E163" s="5">
        <v>-5.55</v>
      </c>
      <c r="F163" s="5">
        <v>0</v>
      </c>
      <c r="G163" s="5">
        <f t="shared" si="2"/>
        <v>43.45</v>
      </c>
    </row>
    <row r="164" spans="1:7" x14ac:dyDescent="0.25">
      <c r="A164" s="2">
        <v>44676</v>
      </c>
      <c r="B164" s="1" t="s">
        <v>9</v>
      </c>
      <c r="C164" s="1" t="s">
        <v>201</v>
      </c>
      <c r="D164" s="5">
        <v>9</v>
      </c>
      <c r="E164" s="5">
        <v>-1.24</v>
      </c>
      <c r="F164" s="5">
        <v>0</v>
      </c>
      <c r="G164" s="5">
        <f t="shared" si="2"/>
        <v>7.76</v>
      </c>
    </row>
    <row r="165" spans="1:7" x14ac:dyDescent="0.25">
      <c r="A165" s="2">
        <v>44676</v>
      </c>
      <c r="B165" s="1" t="s">
        <v>9</v>
      </c>
      <c r="C165" s="1" t="s">
        <v>202</v>
      </c>
      <c r="D165" s="5">
        <v>15</v>
      </c>
      <c r="E165" s="5">
        <v>-1.9</v>
      </c>
      <c r="F165" s="5">
        <v>0</v>
      </c>
      <c r="G165" s="5">
        <f t="shared" si="2"/>
        <v>13.1</v>
      </c>
    </row>
    <row r="166" spans="1:7" x14ac:dyDescent="0.25">
      <c r="A166" s="2">
        <v>44677</v>
      </c>
      <c r="B166" s="1" t="s">
        <v>9</v>
      </c>
      <c r="C166" s="1" t="s">
        <v>203</v>
      </c>
      <c r="D166" s="5">
        <v>99</v>
      </c>
      <c r="E166" s="5">
        <v>-11.13</v>
      </c>
      <c r="F166" s="5">
        <v>0</v>
      </c>
      <c r="G166" s="5">
        <f t="shared" si="2"/>
        <v>87.87</v>
      </c>
    </row>
    <row r="167" spans="1:7" x14ac:dyDescent="0.25">
      <c r="A167" s="2">
        <v>44677</v>
      </c>
      <c r="B167" s="1" t="s">
        <v>9</v>
      </c>
      <c r="C167" s="1" t="s">
        <v>204</v>
      </c>
      <c r="D167" s="5">
        <v>85</v>
      </c>
      <c r="E167" s="5">
        <v>-9.34</v>
      </c>
      <c r="F167" s="5">
        <v>0</v>
      </c>
      <c r="G167" s="5">
        <f t="shared" si="2"/>
        <v>75.66</v>
      </c>
    </row>
    <row r="168" spans="1:7" x14ac:dyDescent="0.25">
      <c r="A168" s="2">
        <v>44678</v>
      </c>
      <c r="B168" s="1" t="s">
        <v>9</v>
      </c>
      <c r="C168" s="1" t="s">
        <v>205</v>
      </c>
      <c r="D168" s="5">
        <v>30</v>
      </c>
      <c r="E168" s="5">
        <v>-3.48</v>
      </c>
      <c r="F168" s="5">
        <v>0</v>
      </c>
      <c r="G168" s="5">
        <f t="shared" si="2"/>
        <v>26.52</v>
      </c>
    </row>
    <row r="169" spans="1:7" x14ac:dyDescent="0.25">
      <c r="A169" s="2">
        <v>44679</v>
      </c>
      <c r="B169" s="1" t="s">
        <v>9</v>
      </c>
      <c r="C169" s="1" t="s">
        <v>206</v>
      </c>
      <c r="D169" s="5">
        <v>19</v>
      </c>
      <c r="E169" s="5">
        <v>-2.34</v>
      </c>
      <c r="F169" s="5">
        <v>0</v>
      </c>
      <c r="G169" s="5">
        <f t="shared" si="2"/>
        <v>16.66</v>
      </c>
    </row>
    <row r="170" spans="1:7" x14ac:dyDescent="0.25">
      <c r="A170" s="2">
        <v>44680</v>
      </c>
      <c r="B170" s="1" t="s">
        <v>9</v>
      </c>
      <c r="C170" s="1" t="s">
        <v>177</v>
      </c>
      <c r="D170" s="5">
        <v>69</v>
      </c>
      <c r="E170" s="5">
        <v>-7.13</v>
      </c>
      <c r="F170" s="5">
        <v>0</v>
      </c>
      <c r="G170" s="5">
        <f t="shared" si="2"/>
        <v>61.87</v>
      </c>
    </row>
    <row r="171" spans="1:7" x14ac:dyDescent="0.25">
      <c r="A171" s="2">
        <v>44680</v>
      </c>
      <c r="B171" s="1" t="s">
        <v>9</v>
      </c>
      <c r="C171" s="1" t="s">
        <v>207</v>
      </c>
      <c r="D171" s="5">
        <v>25</v>
      </c>
      <c r="E171" s="5">
        <v>-2.99</v>
      </c>
      <c r="F171" s="5">
        <v>0</v>
      </c>
      <c r="G171" s="5">
        <f t="shared" si="2"/>
        <v>22.009999999999998</v>
      </c>
    </row>
    <row r="172" spans="1:7" x14ac:dyDescent="0.25">
      <c r="A172" s="2">
        <v>44680</v>
      </c>
      <c r="B172" s="1" t="s">
        <v>9</v>
      </c>
      <c r="C172" s="1" t="s">
        <v>208</v>
      </c>
      <c r="D172" s="5">
        <v>50</v>
      </c>
      <c r="E172" s="5">
        <v>-5.6</v>
      </c>
      <c r="F172" s="5">
        <v>0</v>
      </c>
      <c r="G172" s="5">
        <f t="shared" si="2"/>
        <v>44.4</v>
      </c>
    </row>
    <row r="173" spans="1:7" x14ac:dyDescent="0.25">
      <c r="A173" s="2">
        <v>44680</v>
      </c>
      <c r="B173" s="1" t="s">
        <v>9</v>
      </c>
      <c r="C173" s="1" t="s">
        <v>209</v>
      </c>
      <c r="D173" s="5">
        <v>199</v>
      </c>
      <c r="E173" s="5">
        <v>-21.18</v>
      </c>
      <c r="F173" s="5">
        <v>0</v>
      </c>
      <c r="G173" s="5">
        <f t="shared" si="2"/>
        <v>177.82</v>
      </c>
    </row>
    <row r="174" spans="1:7" x14ac:dyDescent="0.25">
      <c r="A174" s="2">
        <v>44680</v>
      </c>
      <c r="B174" s="1" t="s">
        <v>9</v>
      </c>
      <c r="C174" s="1" t="s">
        <v>210</v>
      </c>
      <c r="D174" s="5">
        <v>25</v>
      </c>
      <c r="E174" s="5">
        <v>-2.78</v>
      </c>
      <c r="F174" s="5">
        <v>0</v>
      </c>
      <c r="G174" s="5">
        <f t="shared" si="2"/>
        <v>22.22</v>
      </c>
    </row>
    <row r="175" spans="1:7" x14ac:dyDescent="0.25">
      <c r="A175" s="2">
        <v>44682</v>
      </c>
      <c r="B175" s="1" t="s">
        <v>9</v>
      </c>
      <c r="C175" s="1" t="s">
        <v>211</v>
      </c>
      <c r="D175" s="5">
        <v>199</v>
      </c>
      <c r="E175" s="5">
        <v>-21.38</v>
      </c>
      <c r="F175" s="5">
        <v>0</v>
      </c>
      <c r="G175" s="5">
        <f t="shared" si="2"/>
        <v>177.62</v>
      </c>
    </row>
    <row r="176" spans="1:7" x14ac:dyDescent="0.25">
      <c r="A176" s="2">
        <v>44682</v>
      </c>
      <c r="B176" s="1" t="s">
        <v>9</v>
      </c>
      <c r="C176" s="1" t="s">
        <v>212</v>
      </c>
      <c r="D176" s="5">
        <v>65</v>
      </c>
      <c r="E176" s="5">
        <v>-7.09</v>
      </c>
      <c r="F176" s="5">
        <v>0</v>
      </c>
      <c r="G176" s="5">
        <f t="shared" si="2"/>
        <v>57.91</v>
      </c>
    </row>
    <row r="177" spans="1:7" x14ac:dyDescent="0.25">
      <c r="A177" s="2">
        <v>44683</v>
      </c>
      <c r="B177" s="1" t="s">
        <v>9</v>
      </c>
      <c r="C177" s="1" t="s">
        <v>213</v>
      </c>
      <c r="D177" s="5">
        <v>59</v>
      </c>
      <c r="E177" s="5">
        <v>-6.55</v>
      </c>
      <c r="F177" s="5">
        <v>0</v>
      </c>
      <c r="G177" s="5">
        <f t="shared" si="2"/>
        <v>52.45</v>
      </c>
    </row>
    <row r="178" spans="1:7" x14ac:dyDescent="0.25">
      <c r="A178" s="2">
        <v>44683</v>
      </c>
      <c r="B178" s="1" t="s">
        <v>9</v>
      </c>
      <c r="C178" s="1" t="s">
        <v>188</v>
      </c>
      <c r="D178" s="5">
        <v>19</v>
      </c>
      <c r="E178" s="5">
        <v>-2.31</v>
      </c>
      <c r="F178" s="5">
        <v>0</v>
      </c>
      <c r="G178" s="5">
        <f t="shared" si="2"/>
        <v>16.690000000000001</v>
      </c>
    </row>
    <row r="179" spans="1:7" x14ac:dyDescent="0.25">
      <c r="A179" s="2">
        <v>44683</v>
      </c>
      <c r="B179" s="1" t="s">
        <v>9</v>
      </c>
      <c r="C179" s="1" t="s">
        <v>214</v>
      </c>
      <c r="D179" s="5">
        <v>7</v>
      </c>
      <c r="E179" s="5">
        <v>-1.05</v>
      </c>
      <c r="F179" s="5">
        <v>0</v>
      </c>
      <c r="G179" s="5">
        <f t="shared" si="2"/>
        <v>5.95</v>
      </c>
    </row>
    <row r="180" spans="1:7" x14ac:dyDescent="0.25">
      <c r="A180" s="2">
        <v>44683</v>
      </c>
      <c r="B180" s="1" t="s">
        <v>9</v>
      </c>
      <c r="C180" s="1" t="s">
        <v>215</v>
      </c>
      <c r="D180" s="5">
        <v>99</v>
      </c>
      <c r="E180" s="5">
        <v>-11.73</v>
      </c>
      <c r="F180" s="5">
        <v>0</v>
      </c>
      <c r="G180" s="5">
        <f t="shared" si="2"/>
        <v>87.27</v>
      </c>
    </row>
    <row r="181" spans="1:7" x14ac:dyDescent="0.25">
      <c r="A181" s="2">
        <v>44683</v>
      </c>
      <c r="B181" s="1" t="s">
        <v>9</v>
      </c>
      <c r="C181" s="1" t="s">
        <v>216</v>
      </c>
      <c r="D181" s="5">
        <v>149</v>
      </c>
      <c r="E181" s="5">
        <v>-15.94</v>
      </c>
      <c r="F181" s="5">
        <v>0</v>
      </c>
      <c r="G181" s="5">
        <f t="shared" si="2"/>
        <v>133.06</v>
      </c>
    </row>
    <row r="182" spans="1:7" x14ac:dyDescent="0.25">
      <c r="A182" s="2">
        <v>44684</v>
      </c>
      <c r="B182" s="1" t="s">
        <v>9</v>
      </c>
      <c r="C182" s="1" t="s">
        <v>217</v>
      </c>
      <c r="D182" s="5">
        <v>16</v>
      </c>
      <c r="E182" s="5">
        <v>-2.14</v>
      </c>
      <c r="F182" s="5">
        <v>0</v>
      </c>
      <c r="G182" s="5">
        <f t="shared" si="2"/>
        <v>13.86</v>
      </c>
    </row>
    <row r="183" spans="1:7" x14ac:dyDescent="0.25">
      <c r="A183" s="2">
        <v>44684</v>
      </c>
      <c r="B183" s="1" t="s">
        <v>9</v>
      </c>
      <c r="C183" s="1" t="s">
        <v>218</v>
      </c>
      <c r="D183" s="5">
        <v>20</v>
      </c>
      <c r="E183" s="5">
        <v>-2.42</v>
      </c>
      <c r="F183" s="5">
        <v>0</v>
      </c>
      <c r="G183" s="5">
        <f t="shared" si="2"/>
        <v>17.579999999999998</v>
      </c>
    </row>
    <row r="184" spans="1:7" x14ac:dyDescent="0.25">
      <c r="A184" s="2">
        <v>44684</v>
      </c>
      <c r="B184" s="1" t="s">
        <v>9</v>
      </c>
      <c r="C184" s="1" t="s">
        <v>219</v>
      </c>
      <c r="D184" s="5">
        <v>120</v>
      </c>
      <c r="E184" s="5">
        <v>-13.1</v>
      </c>
      <c r="F184" s="5">
        <v>0</v>
      </c>
      <c r="G184" s="5">
        <f t="shared" si="2"/>
        <v>106.9</v>
      </c>
    </row>
    <row r="185" spans="1:7" x14ac:dyDescent="0.25">
      <c r="A185" s="2">
        <v>44684</v>
      </c>
      <c r="B185" s="1" t="s">
        <v>9</v>
      </c>
      <c r="C185" s="1" t="s">
        <v>220</v>
      </c>
      <c r="D185" s="5">
        <v>70</v>
      </c>
      <c r="E185" s="5">
        <v>-8.9600000000000009</v>
      </c>
      <c r="F185" s="5">
        <v>0</v>
      </c>
      <c r="G185" s="5">
        <f t="shared" si="2"/>
        <v>61.04</v>
      </c>
    </row>
    <row r="186" spans="1:7" x14ac:dyDescent="0.25">
      <c r="A186" s="2">
        <v>44684</v>
      </c>
      <c r="B186" s="1" t="s">
        <v>9</v>
      </c>
      <c r="C186" s="1" t="s">
        <v>221</v>
      </c>
      <c r="D186" s="5">
        <v>35</v>
      </c>
      <c r="E186" s="5">
        <v>-4.01</v>
      </c>
      <c r="F186" s="5">
        <v>0</v>
      </c>
      <c r="G186" s="5">
        <f t="shared" si="2"/>
        <v>30.990000000000002</v>
      </c>
    </row>
    <row r="187" spans="1:7" x14ac:dyDescent="0.25">
      <c r="A187" s="2">
        <v>44684</v>
      </c>
      <c r="B187" s="1" t="s">
        <v>9</v>
      </c>
      <c r="C187" s="1" t="s">
        <v>222</v>
      </c>
      <c r="D187" s="5">
        <v>109</v>
      </c>
      <c r="E187" s="5">
        <v>-11.74</v>
      </c>
      <c r="F187" s="5">
        <v>0</v>
      </c>
      <c r="G187" s="5">
        <f t="shared" si="2"/>
        <v>97.26</v>
      </c>
    </row>
    <row r="188" spans="1:7" x14ac:dyDescent="0.25">
      <c r="A188" s="2">
        <v>44685</v>
      </c>
      <c r="B188" s="1" t="s">
        <v>9</v>
      </c>
      <c r="C188" s="1" t="s">
        <v>223</v>
      </c>
      <c r="D188" s="5">
        <v>39</v>
      </c>
      <c r="E188" s="5">
        <v>-5.44</v>
      </c>
      <c r="F188" s="5">
        <v>0</v>
      </c>
      <c r="G188" s="5">
        <f t="shared" si="2"/>
        <v>33.56</v>
      </c>
    </row>
    <row r="189" spans="1:7" x14ac:dyDescent="0.25">
      <c r="A189" s="2">
        <v>44687</v>
      </c>
      <c r="B189" s="1" t="s">
        <v>9</v>
      </c>
      <c r="C189" s="1" t="s">
        <v>224</v>
      </c>
      <c r="D189" s="5">
        <v>29</v>
      </c>
      <c r="E189" s="5">
        <v>-3.32</v>
      </c>
      <c r="F189" s="5">
        <v>0</v>
      </c>
      <c r="G189" s="5">
        <f t="shared" si="2"/>
        <v>25.68</v>
      </c>
    </row>
    <row r="190" spans="1:7" x14ac:dyDescent="0.25">
      <c r="A190" s="2">
        <v>44687</v>
      </c>
      <c r="B190" s="1" t="s">
        <v>9</v>
      </c>
      <c r="C190" s="1" t="s">
        <v>172</v>
      </c>
      <c r="D190" s="5">
        <v>39</v>
      </c>
      <c r="E190" s="5">
        <v>-4.43</v>
      </c>
      <c r="F190" s="5">
        <v>0</v>
      </c>
      <c r="G190" s="5">
        <f t="shared" si="2"/>
        <v>34.57</v>
      </c>
    </row>
    <row r="191" spans="1:7" x14ac:dyDescent="0.25">
      <c r="A191" s="2">
        <v>44689</v>
      </c>
      <c r="B191" s="1" t="s">
        <v>9</v>
      </c>
      <c r="C191" s="1" t="s">
        <v>193</v>
      </c>
      <c r="D191" s="5">
        <v>60</v>
      </c>
      <c r="E191" s="5">
        <v>-6.74</v>
      </c>
      <c r="F191" s="5">
        <v>0</v>
      </c>
      <c r="G191" s="5">
        <f t="shared" si="2"/>
        <v>53.26</v>
      </c>
    </row>
    <row r="192" spans="1:7" x14ac:dyDescent="0.25">
      <c r="A192" s="2">
        <v>44690</v>
      </c>
      <c r="B192" s="1" t="s">
        <v>9</v>
      </c>
      <c r="C192" s="1" t="s">
        <v>225</v>
      </c>
      <c r="D192" s="5">
        <v>39</v>
      </c>
      <c r="E192" s="5">
        <v>-4.53</v>
      </c>
      <c r="F192" s="5">
        <v>0</v>
      </c>
      <c r="G192" s="5">
        <f t="shared" si="2"/>
        <v>34.47</v>
      </c>
    </row>
    <row r="193" spans="1:7" x14ac:dyDescent="0.25">
      <c r="A193" s="2">
        <v>44690</v>
      </c>
      <c r="B193" s="1" t="s">
        <v>9</v>
      </c>
      <c r="C193" s="1" t="s">
        <v>226</v>
      </c>
      <c r="D193" s="5">
        <v>89</v>
      </c>
      <c r="E193" s="5">
        <v>-9.82</v>
      </c>
      <c r="F193" s="5">
        <v>0</v>
      </c>
      <c r="G193" s="5">
        <f t="shared" si="2"/>
        <v>79.180000000000007</v>
      </c>
    </row>
    <row r="194" spans="1:7" x14ac:dyDescent="0.25">
      <c r="A194" s="2">
        <v>44690</v>
      </c>
      <c r="B194" s="1" t="s">
        <v>9</v>
      </c>
      <c r="C194" s="1" t="s">
        <v>227</v>
      </c>
      <c r="D194" s="5">
        <v>29</v>
      </c>
      <c r="E194" s="5">
        <v>-3.46</v>
      </c>
      <c r="F194" s="5">
        <v>0</v>
      </c>
      <c r="G194" s="5">
        <f t="shared" si="2"/>
        <v>25.54</v>
      </c>
    </row>
    <row r="195" spans="1:7" x14ac:dyDescent="0.25">
      <c r="A195" s="2">
        <v>44692</v>
      </c>
      <c r="B195" s="1" t="s">
        <v>9</v>
      </c>
      <c r="C195" s="1" t="s">
        <v>211</v>
      </c>
      <c r="D195" s="5">
        <v>150</v>
      </c>
      <c r="E195" s="5">
        <v>-15.99</v>
      </c>
      <c r="F195" s="5">
        <v>0</v>
      </c>
      <c r="G195" s="5">
        <f t="shared" ref="G195:G258" si="3">D195+E195</f>
        <v>134.01</v>
      </c>
    </row>
    <row r="196" spans="1:7" x14ac:dyDescent="0.25">
      <c r="A196" s="2">
        <v>44693</v>
      </c>
      <c r="B196" s="1" t="s">
        <v>9</v>
      </c>
      <c r="C196" s="1" t="s">
        <v>228</v>
      </c>
      <c r="D196" s="5">
        <v>49</v>
      </c>
      <c r="E196" s="5">
        <v>-5.62</v>
      </c>
      <c r="F196" s="5">
        <v>0</v>
      </c>
      <c r="G196" s="5">
        <f t="shared" si="3"/>
        <v>43.38</v>
      </c>
    </row>
    <row r="197" spans="1:7" x14ac:dyDescent="0.25">
      <c r="A197" s="2">
        <v>44693</v>
      </c>
      <c r="B197" s="1" t="s">
        <v>9</v>
      </c>
      <c r="C197" s="1" t="s">
        <v>229</v>
      </c>
      <c r="D197" s="5">
        <v>22</v>
      </c>
      <c r="E197" s="5">
        <v>-2.65</v>
      </c>
      <c r="F197" s="5">
        <v>-22</v>
      </c>
      <c r="G197" s="5">
        <f t="shared" si="3"/>
        <v>19.350000000000001</v>
      </c>
    </row>
    <row r="198" spans="1:7" x14ac:dyDescent="0.25">
      <c r="A198" s="2">
        <v>44694</v>
      </c>
      <c r="B198" s="1" t="s">
        <v>9</v>
      </c>
      <c r="C198" s="1" t="s">
        <v>228</v>
      </c>
      <c r="D198" s="5">
        <v>45</v>
      </c>
      <c r="E198" s="5">
        <v>-5.15</v>
      </c>
      <c r="F198" s="5">
        <v>0</v>
      </c>
      <c r="G198" s="5">
        <f t="shared" si="3"/>
        <v>39.85</v>
      </c>
    </row>
    <row r="199" spans="1:7" x14ac:dyDescent="0.25">
      <c r="A199" s="2">
        <v>44703</v>
      </c>
      <c r="B199" s="1" t="s">
        <v>9</v>
      </c>
      <c r="C199" s="1" t="s">
        <v>230</v>
      </c>
      <c r="D199" s="5">
        <v>29</v>
      </c>
      <c r="E199" s="5">
        <v>-3.34</v>
      </c>
      <c r="F199" s="5">
        <v>0</v>
      </c>
      <c r="G199" s="5">
        <f t="shared" si="3"/>
        <v>25.66</v>
      </c>
    </row>
    <row r="200" spans="1:7" x14ac:dyDescent="0.25">
      <c r="A200" s="2">
        <v>44704</v>
      </c>
      <c r="B200" s="1" t="s">
        <v>9</v>
      </c>
      <c r="C200" s="1" t="s">
        <v>231</v>
      </c>
      <c r="D200" s="5">
        <v>19</v>
      </c>
      <c r="E200" s="5">
        <v>-2.33</v>
      </c>
      <c r="F200" s="5">
        <v>0</v>
      </c>
      <c r="G200" s="5">
        <f t="shared" si="3"/>
        <v>16.670000000000002</v>
      </c>
    </row>
    <row r="201" spans="1:7" x14ac:dyDescent="0.25">
      <c r="A201" s="2">
        <v>44704</v>
      </c>
      <c r="B201" s="1" t="s">
        <v>9</v>
      </c>
      <c r="C201" s="1" t="s">
        <v>232</v>
      </c>
      <c r="D201" s="5">
        <v>29</v>
      </c>
      <c r="E201" s="5">
        <v>-3.4</v>
      </c>
      <c r="F201" s="5">
        <v>0</v>
      </c>
      <c r="G201" s="5">
        <f t="shared" si="3"/>
        <v>25.6</v>
      </c>
    </row>
    <row r="202" spans="1:7" x14ac:dyDescent="0.25">
      <c r="A202" s="2">
        <v>44705</v>
      </c>
      <c r="B202" s="1" t="s">
        <v>9</v>
      </c>
      <c r="C202" s="1" t="s">
        <v>128</v>
      </c>
      <c r="D202" s="5">
        <v>19</v>
      </c>
      <c r="E202" s="5">
        <v>-2.2799999999999998</v>
      </c>
      <c r="F202" s="5">
        <v>0</v>
      </c>
      <c r="G202" s="5">
        <f t="shared" si="3"/>
        <v>16.72</v>
      </c>
    </row>
    <row r="203" spans="1:7" x14ac:dyDescent="0.25">
      <c r="A203" s="2">
        <v>44707</v>
      </c>
      <c r="B203" s="1" t="s">
        <v>9</v>
      </c>
      <c r="C203" s="1" t="s">
        <v>209</v>
      </c>
      <c r="D203" s="5">
        <v>175</v>
      </c>
      <c r="E203" s="5">
        <v>-18.579999999999998</v>
      </c>
      <c r="F203" s="5">
        <v>0</v>
      </c>
      <c r="G203" s="5">
        <f t="shared" si="3"/>
        <v>156.42000000000002</v>
      </c>
    </row>
    <row r="204" spans="1:7" x14ac:dyDescent="0.25">
      <c r="A204" s="2">
        <v>44707</v>
      </c>
      <c r="B204" s="1" t="s">
        <v>9</v>
      </c>
      <c r="C204" s="1" t="s">
        <v>171</v>
      </c>
      <c r="D204" s="5">
        <v>39</v>
      </c>
      <c r="E204" s="5">
        <v>-4.43</v>
      </c>
      <c r="F204" s="5">
        <v>0</v>
      </c>
      <c r="G204" s="5">
        <f t="shared" si="3"/>
        <v>34.57</v>
      </c>
    </row>
    <row r="205" spans="1:7" x14ac:dyDescent="0.25">
      <c r="A205" s="2">
        <v>44707</v>
      </c>
      <c r="B205" s="1" t="s">
        <v>9</v>
      </c>
      <c r="C205" s="1" t="s">
        <v>233</v>
      </c>
      <c r="D205" s="5">
        <v>25</v>
      </c>
      <c r="E205" s="5">
        <v>-2.95</v>
      </c>
      <c r="F205" s="5">
        <v>0</v>
      </c>
      <c r="G205" s="5">
        <f t="shared" si="3"/>
        <v>22.05</v>
      </c>
    </row>
    <row r="206" spans="1:7" x14ac:dyDescent="0.25">
      <c r="A206" s="2">
        <v>44712</v>
      </c>
      <c r="B206" s="1" t="s">
        <v>9</v>
      </c>
      <c r="C206" s="1" t="s">
        <v>234</v>
      </c>
      <c r="D206" s="5">
        <v>60</v>
      </c>
      <c r="E206" s="5">
        <v>-7.72</v>
      </c>
      <c r="F206" s="5">
        <v>0</v>
      </c>
      <c r="G206" s="5">
        <f t="shared" si="3"/>
        <v>52.28</v>
      </c>
    </row>
    <row r="207" spans="1:7" x14ac:dyDescent="0.25">
      <c r="A207" s="2">
        <v>44712</v>
      </c>
      <c r="B207" s="1" t="s">
        <v>9</v>
      </c>
      <c r="C207" s="1" t="s">
        <v>235</v>
      </c>
      <c r="D207" s="5">
        <v>30</v>
      </c>
      <c r="E207" s="5">
        <v>-3.45</v>
      </c>
      <c r="F207" s="5">
        <v>0</v>
      </c>
      <c r="G207" s="5">
        <f t="shared" si="3"/>
        <v>26.55</v>
      </c>
    </row>
    <row r="208" spans="1:7" x14ac:dyDescent="0.25">
      <c r="A208" s="2">
        <v>44713</v>
      </c>
      <c r="B208" s="1" t="s">
        <v>9</v>
      </c>
      <c r="C208" s="1" t="s">
        <v>218</v>
      </c>
      <c r="D208" s="5">
        <v>29</v>
      </c>
      <c r="E208" s="5">
        <v>-3.32</v>
      </c>
      <c r="F208" s="5">
        <v>0</v>
      </c>
      <c r="G208" s="5">
        <f t="shared" si="3"/>
        <v>25.68</v>
      </c>
    </row>
    <row r="209" spans="1:7" x14ac:dyDescent="0.25">
      <c r="A209" s="2">
        <v>44713</v>
      </c>
      <c r="B209" s="1" t="s">
        <v>9</v>
      </c>
      <c r="C209" s="1" t="s">
        <v>236</v>
      </c>
      <c r="D209" s="5">
        <v>79</v>
      </c>
      <c r="E209" s="5">
        <v>-8.73</v>
      </c>
      <c r="F209" s="5">
        <v>0</v>
      </c>
      <c r="G209" s="5">
        <f t="shared" si="3"/>
        <v>70.27</v>
      </c>
    </row>
    <row r="210" spans="1:7" x14ac:dyDescent="0.25">
      <c r="A210" s="2">
        <v>44715</v>
      </c>
      <c r="B210" s="1" t="s">
        <v>9</v>
      </c>
      <c r="C210" s="1" t="s">
        <v>237</v>
      </c>
      <c r="D210" s="5">
        <v>29</v>
      </c>
      <c r="E210" s="5">
        <v>-3.39</v>
      </c>
      <c r="F210" s="5">
        <v>0</v>
      </c>
      <c r="G210" s="5">
        <f t="shared" si="3"/>
        <v>25.61</v>
      </c>
    </row>
    <row r="211" spans="1:7" x14ac:dyDescent="0.25">
      <c r="A211" s="2">
        <v>44718</v>
      </c>
      <c r="B211" s="1" t="s">
        <v>9</v>
      </c>
      <c r="C211" s="1" t="s">
        <v>238</v>
      </c>
      <c r="D211" s="5">
        <v>49</v>
      </c>
      <c r="E211" s="5">
        <v>-5.96</v>
      </c>
      <c r="F211" s="5">
        <v>0</v>
      </c>
      <c r="G211" s="5">
        <f t="shared" si="3"/>
        <v>43.04</v>
      </c>
    </row>
    <row r="212" spans="1:7" x14ac:dyDescent="0.25">
      <c r="A212" s="2">
        <v>44718</v>
      </c>
      <c r="B212" s="1" t="s">
        <v>9</v>
      </c>
      <c r="C212" s="1" t="s">
        <v>238</v>
      </c>
      <c r="D212" s="5">
        <v>59</v>
      </c>
      <c r="E212" s="5">
        <v>-6.64</v>
      </c>
      <c r="F212" s="5">
        <v>-59</v>
      </c>
      <c r="G212" s="5">
        <f t="shared" si="3"/>
        <v>52.36</v>
      </c>
    </row>
    <row r="213" spans="1:7" x14ac:dyDescent="0.25">
      <c r="A213" s="2">
        <v>44718</v>
      </c>
      <c r="B213" s="1" t="s">
        <v>9</v>
      </c>
      <c r="C213" s="1" t="s">
        <v>239</v>
      </c>
      <c r="D213" s="5">
        <v>50</v>
      </c>
      <c r="E213" s="5">
        <v>-5.6</v>
      </c>
      <c r="F213" s="5">
        <v>0</v>
      </c>
      <c r="G213" s="5">
        <f t="shared" si="3"/>
        <v>44.4</v>
      </c>
    </row>
    <row r="214" spans="1:7" x14ac:dyDescent="0.25">
      <c r="A214" s="2">
        <v>44720</v>
      </c>
      <c r="B214" s="1" t="s">
        <v>9</v>
      </c>
      <c r="C214" s="1" t="s">
        <v>240</v>
      </c>
      <c r="D214" s="5">
        <v>29</v>
      </c>
      <c r="E214" s="5">
        <v>-3.41</v>
      </c>
      <c r="F214" s="5">
        <v>0</v>
      </c>
      <c r="G214" s="5">
        <f t="shared" si="3"/>
        <v>25.59</v>
      </c>
    </row>
    <row r="215" spans="1:7" x14ac:dyDescent="0.25">
      <c r="A215" s="2">
        <v>44721</v>
      </c>
      <c r="B215" s="1" t="s">
        <v>9</v>
      </c>
      <c r="C215" s="1" t="s">
        <v>241</v>
      </c>
      <c r="D215" s="5">
        <v>59</v>
      </c>
      <c r="E215" s="5">
        <v>-6.61</v>
      </c>
      <c r="F215" s="5">
        <v>0</v>
      </c>
      <c r="G215" s="5">
        <f t="shared" si="3"/>
        <v>52.39</v>
      </c>
    </row>
    <row r="216" spans="1:7" x14ac:dyDescent="0.25">
      <c r="A216" s="2">
        <v>44724</v>
      </c>
      <c r="B216" s="1" t="s">
        <v>9</v>
      </c>
      <c r="C216" s="1" t="s">
        <v>173</v>
      </c>
      <c r="D216" s="5">
        <v>39</v>
      </c>
      <c r="E216" s="5">
        <v>-4.53</v>
      </c>
      <c r="F216" s="5">
        <v>0</v>
      </c>
      <c r="G216" s="5">
        <f t="shared" si="3"/>
        <v>34.47</v>
      </c>
    </row>
    <row r="217" spans="1:7" x14ac:dyDescent="0.25">
      <c r="A217" s="2">
        <v>44724</v>
      </c>
      <c r="B217" s="1" t="s">
        <v>9</v>
      </c>
      <c r="C217" s="1" t="s">
        <v>242</v>
      </c>
      <c r="D217" s="5">
        <v>21.75</v>
      </c>
      <c r="E217" s="5">
        <v>-2.5499999999999998</v>
      </c>
      <c r="F217" s="5">
        <v>0</v>
      </c>
      <c r="G217" s="5">
        <f t="shared" si="3"/>
        <v>19.2</v>
      </c>
    </row>
    <row r="218" spans="1:7" x14ac:dyDescent="0.25">
      <c r="A218" s="2">
        <v>44725</v>
      </c>
      <c r="B218" s="1" t="s">
        <v>9</v>
      </c>
      <c r="C218" s="1" t="s">
        <v>187</v>
      </c>
      <c r="D218" s="5">
        <v>19</v>
      </c>
      <c r="E218" s="5">
        <v>-2.4</v>
      </c>
      <c r="F218" s="5">
        <v>0</v>
      </c>
      <c r="G218" s="5">
        <f t="shared" si="3"/>
        <v>16.600000000000001</v>
      </c>
    </row>
    <row r="219" spans="1:7" x14ac:dyDescent="0.25">
      <c r="A219" s="2">
        <v>44726</v>
      </c>
      <c r="B219" s="1" t="s">
        <v>9</v>
      </c>
      <c r="C219" s="1" t="s">
        <v>243</v>
      </c>
      <c r="D219" s="5">
        <v>99</v>
      </c>
      <c r="E219" s="5">
        <v>-10.89</v>
      </c>
      <c r="F219" s="5">
        <v>0</v>
      </c>
      <c r="G219" s="5">
        <f t="shared" si="3"/>
        <v>88.11</v>
      </c>
    </row>
    <row r="220" spans="1:7" x14ac:dyDescent="0.25">
      <c r="A220" s="2">
        <v>44727</v>
      </c>
      <c r="B220" s="1" t="s">
        <v>9</v>
      </c>
      <c r="C220" s="1" t="s">
        <v>244</v>
      </c>
      <c r="D220" s="5">
        <v>30</v>
      </c>
      <c r="E220" s="5">
        <v>-3.48</v>
      </c>
      <c r="F220" s="5">
        <v>0</v>
      </c>
      <c r="G220" s="5">
        <f t="shared" si="3"/>
        <v>26.52</v>
      </c>
    </row>
    <row r="221" spans="1:7" x14ac:dyDescent="0.25">
      <c r="A221" s="2">
        <v>44727</v>
      </c>
      <c r="B221" s="1" t="s">
        <v>9</v>
      </c>
      <c r="C221" s="1" t="s">
        <v>245</v>
      </c>
      <c r="D221" s="5">
        <v>19</v>
      </c>
      <c r="E221" s="5">
        <v>-2.2999999999999998</v>
      </c>
      <c r="F221" s="5">
        <v>0</v>
      </c>
      <c r="G221" s="5">
        <f t="shared" si="3"/>
        <v>16.7</v>
      </c>
    </row>
    <row r="222" spans="1:7" x14ac:dyDescent="0.25">
      <c r="A222" s="2">
        <v>44728</v>
      </c>
      <c r="B222" s="1" t="s">
        <v>9</v>
      </c>
      <c r="C222" s="1" t="s">
        <v>246</v>
      </c>
      <c r="D222" s="5">
        <v>29</v>
      </c>
      <c r="E222" s="5">
        <v>-3.5</v>
      </c>
      <c r="F222" s="5">
        <v>0</v>
      </c>
      <c r="G222" s="5">
        <f t="shared" si="3"/>
        <v>25.5</v>
      </c>
    </row>
    <row r="223" spans="1:7" x14ac:dyDescent="0.25">
      <c r="A223" s="2">
        <v>44729</v>
      </c>
      <c r="B223" s="1" t="s">
        <v>9</v>
      </c>
      <c r="C223" s="1" t="s">
        <v>247</v>
      </c>
      <c r="D223" s="5">
        <v>60</v>
      </c>
      <c r="E223" s="5">
        <v>-6.66</v>
      </c>
      <c r="F223" s="5">
        <v>0</v>
      </c>
      <c r="G223" s="5">
        <f t="shared" si="3"/>
        <v>53.34</v>
      </c>
    </row>
    <row r="224" spans="1:7" x14ac:dyDescent="0.25">
      <c r="A224" s="2">
        <v>44732</v>
      </c>
      <c r="B224" s="1" t="s">
        <v>9</v>
      </c>
      <c r="C224" s="1" t="s">
        <v>248</v>
      </c>
      <c r="D224" s="5">
        <v>29</v>
      </c>
      <c r="E224" s="5">
        <v>-3.5</v>
      </c>
      <c r="F224" s="5">
        <v>0</v>
      </c>
      <c r="G224" s="5">
        <f t="shared" si="3"/>
        <v>25.5</v>
      </c>
    </row>
    <row r="225" spans="1:7" x14ac:dyDescent="0.25">
      <c r="A225" s="2">
        <v>44733</v>
      </c>
      <c r="B225" s="1" t="s">
        <v>9</v>
      </c>
      <c r="C225" s="1" t="s">
        <v>249</v>
      </c>
      <c r="D225" s="5">
        <v>80</v>
      </c>
      <c r="E225" s="5">
        <v>-8.6999999999999993</v>
      </c>
      <c r="F225" s="5">
        <v>0</v>
      </c>
      <c r="G225" s="5">
        <f t="shared" si="3"/>
        <v>71.3</v>
      </c>
    </row>
    <row r="226" spans="1:7" x14ac:dyDescent="0.25">
      <c r="A226" s="2">
        <v>44734</v>
      </c>
      <c r="B226" s="1" t="s">
        <v>9</v>
      </c>
      <c r="C226" s="1" t="s">
        <v>250</v>
      </c>
      <c r="D226" s="5">
        <v>50</v>
      </c>
      <c r="E226" s="5">
        <v>-5.6</v>
      </c>
      <c r="F226" s="5">
        <v>0</v>
      </c>
      <c r="G226" s="5">
        <f t="shared" si="3"/>
        <v>44.4</v>
      </c>
    </row>
    <row r="227" spans="1:7" x14ac:dyDescent="0.25">
      <c r="A227" s="2">
        <v>44734</v>
      </c>
      <c r="B227" s="1" t="s">
        <v>9</v>
      </c>
      <c r="C227" s="1" t="s">
        <v>251</v>
      </c>
      <c r="D227" s="5">
        <v>29</v>
      </c>
      <c r="E227" s="5">
        <v>-3.65</v>
      </c>
      <c r="F227" s="5">
        <v>0</v>
      </c>
      <c r="G227" s="5">
        <f t="shared" si="3"/>
        <v>25.35</v>
      </c>
    </row>
    <row r="228" spans="1:7" x14ac:dyDescent="0.25">
      <c r="A228" s="2">
        <v>44734</v>
      </c>
      <c r="B228" s="1" t="s">
        <v>9</v>
      </c>
      <c r="C228" s="1" t="s">
        <v>166</v>
      </c>
      <c r="D228" s="5">
        <v>15</v>
      </c>
      <c r="E228" s="5">
        <v>-1.89</v>
      </c>
      <c r="F228" s="5">
        <v>0</v>
      </c>
      <c r="G228" s="5">
        <f t="shared" si="3"/>
        <v>13.11</v>
      </c>
    </row>
    <row r="229" spans="1:7" x14ac:dyDescent="0.25">
      <c r="A229" s="2">
        <v>44735</v>
      </c>
      <c r="B229" s="1" t="s">
        <v>9</v>
      </c>
      <c r="C229" s="1" t="s">
        <v>252</v>
      </c>
      <c r="D229" s="5">
        <v>69</v>
      </c>
      <c r="E229" s="5">
        <v>-7.54</v>
      </c>
      <c r="F229" s="5">
        <v>0</v>
      </c>
      <c r="G229" s="5">
        <f t="shared" si="3"/>
        <v>61.46</v>
      </c>
    </row>
    <row r="230" spans="1:7" x14ac:dyDescent="0.25">
      <c r="A230" s="2">
        <v>44735</v>
      </c>
      <c r="B230" s="1" t="s">
        <v>9</v>
      </c>
      <c r="C230" s="1" t="s">
        <v>253</v>
      </c>
      <c r="D230" s="5">
        <v>19</v>
      </c>
      <c r="E230" s="5">
        <v>-2.1800000000000002</v>
      </c>
      <c r="F230" s="5">
        <v>0</v>
      </c>
      <c r="G230" s="5">
        <f t="shared" si="3"/>
        <v>16.82</v>
      </c>
    </row>
    <row r="231" spans="1:7" x14ac:dyDescent="0.25">
      <c r="A231" s="2">
        <v>44742</v>
      </c>
      <c r="B231" s="1" t="s">
        <v>9</v>
      </c>
      <c r="C231" s="1" t="s">
        <v>254</v>
      </c>
      <c r="D231" s="5">
        <v>129</v>
      </c>
      <c r="E231" s="5">
        <v>-13.07</v>
      </c>
      <c r="F231" s="5">
        <v>0</v>
      </c>
      <c r="G231" s="5">
        <f t="shared" si="3"/>
        <v>115.93</v>
      </c>
    </row>
    <row r="232" spans="1:7" x14ac:dyDescent="0.25">
      <c r="A232" s="2">
        <v>44742</v>
      </c>
      <c r="B232" s="1" t="s">
        <v>9</v>
      </c>
      <c r="C232" s="1" t="s">
        <v>255</v>
      </c>
      <c r="D232" s="5">
        <v>200</v>
      </c>
      <c r="E232" s="5">
        <v>-25.02</v>
      </c>
      <c r="F232" s="5">
        <v>0</v>
      </c>
      <c r="G232" s="5">
        <f t="shared" si="3"/>
        <v>174.98</v>
      </c>
    </row>
    <row r="233" spans="1:7" x14ac:dyDescent="0.25">
      <c r="A233" s="2">
        <v>44746</v>
      </c>
      <c r="B233" s="1" t="s">
        <v>9</v>
      </c>
      <c r="C233" s="1" t="s">
        <v>256</v>
      </c>
      <c r="D233" s="5">
        <v>30</v>
      </c>
      <c r="E233" s="5">
        <v>-3.77</v>
      </c>
      <c r="F233" s="5">
        <v>0</v>
      </c>
      <c r="G233" s="5">
        <f t="shared" si="3"/>
        <v>26.23</v>
      </c>
    </row>
    <row r="234" spans="1:7" x14ac:dyDescent="0.25">
      <c r="A234" s="2">
        <v>44747</v>
      </c>
      <c r="B234" s="1" t="s">
        <v>9</v>
      </c>
      <c r="C234" s="1" t="s">
        <v>222</v>
      </c>
      <c r="D234" s="5">
        <v>70</v>
      </c>
      <c r="E234" s="5">
        <v>-7.65</v>
      </c>
      <c r="F234" s="5">
        <v>0</v>
      </c>
      <c r="G234" s="5">
        <f t="shared" si="3"/>
        <v>62.35</v>
      </c>
    </row>
    <row r="235" spans="1:7" x14ac:dyDescent="0.25">
      <c r="A235" s="2">
        <v>44747</v>
      </c>
      <c r="B235" s="1" t="s">
        <v>9</v>
      </c>
      <c r="C235" s="1" t="s">
        <v>257</v>
      </c>
      <c r="D235" s="5">
        <v>39</v>
      </c>
      <c r="E235" s="5">
        <v>-4.37</v>
      </c>
      <c r="F235" s="5">
        <v>0</v>
      </c>
      <c r="G235" s="5">
        <f t="shared" si="3"/>
        <v>34.630000000000003</v>
      </c>
    </row>
    <row r="236" spans="1:7" x14ac:dyDescent="0.25">
      <c r="A236" s="2">
        <v>44747</v>
      </c>
      <c r="B236" s="1" t="s">
        <v>9</v>
      </c>
      <c r="C236" s="1" t="s">
        <v>258</v>
      </c>
      <c r="D236" s="5">
        <v>99</v>
      </c>
      <c r="E236" s="5">
        <v>-10.1</v>
      </c>
      <c r="F236" s="5">
        <v>0</v>
      </c>
      <c r="G236" s="5">
        <f t="shared" si="3"/>
        <v>88.9</v>
      </c>
    </row>
    <row r="237" spans="1:7" x14ac:dyDescent="0.25">
      <c r="A237" s="2">
        <v>44747</v>
      </c>
      <c r="B237" s="1" t="s">
        <v>9</v>
      </c>
      <c r="C237" s="1" t="s">
        <v>259</v>
      </c>
      <c r="D237" s="5">
        <v>99</v>
      </c>
      <c r="E237" s="5">
        <v>-10.69</v>
      </c>
      <c r="F237" s="5">
        <v>0</v>
      </c>
      <c r="G237" s="5">
        <f t="shared" si="3"/>
        <v>88.31</v>
      </c>
    </row>
    <row r="238" spans="1:7" x14ac:dyDescent="0.25">
      <c r="A238" s="2">
        <v>44748</v>
      </c>
      <c r="B238" s="1" t="s">
        <v>9</v>
      </c>
      <c r="C238" s="1" t="s">
        <v>260</v>
      </c>
      <c r="D238" s="5">
        <v>59</v>
      </c>
      <c r="E238" s="5">
        <v>-7.11</v>
      </c>
      <c r="F238" s="5">
        <v>0</v>
      </c>
      <c r="G238" s="5">
        <f t="shared" si="3"/>
        <v>51.89</v>
      </c>
    </row>
    <row r="239" spans="1:7" x14ac:dyDescent="0.25">
      <c r="A239" s="2">
        <v>44749</v>
      </c>
      <c r="B239" s="1" t="s">
        <v>9</v>
      </c>
      <c r="C239" s="1" t="s">
        <v>261</v>
      </c>
      <c r="D239" s="5">
        <v>20</v>
      </c>
      <c r="E239" s="5">
        <v>-2.4</v>
      </c>
      <c r="F239" s="5">
        <v>0</v>
      </c>
      <c r="G239" s="5">
        <f t="shared" si="3"/>
        <v>17.600000000000001</v>
      </c>
    </row>
    <row r="240" spans="1:7" x14ac:dyDescent="0.25">
      <c r="A240" s="2">
        <v>44750</v>
      </c>
      <c r="B240" s="1" t="s">
        <v>9</v>
      </c>
      <c r="C240" s="1" t="s">
        <v>262</v>
      </c>
      <c r="D240" s="5">
        <v>20</v>
      </c>
      <c r="E240" s="5">
        <v>-2.41</v>
      </c>
      <c r="F240" s="5">
        <v>0</v>
      </c>
      <c r="G240" s="5">
        <f t="shared" si="3"/>
        <v>17.59</v>
      </c>
    </row>
    <row r="241" spans="1:7" x14ac:dyDescent="0.25">
      <c r="A241" s="2">
        <v>44752</v>
      </c>
      <c r="B241" s="1" t="s">
        <v>9</v>
      </c>
      <c r="C241" s="1" t="s">
        <v>263</v>
      </c>
      <c r="D241" s="5">
        <v>19</v>
      </c>
      <c r="E241" s="5">
        <v>-2.31</v>
      </c>
      <c r="F241" s="5">
        <v>0</v>
      </c>
      <c r="G241" s="5">
        <f t="shared" si="3"/>
        <v>16.690000000000001</v>
      </c>
    </row>
    <row r="242" spans="1:7" x14ac:dyDescent="0.25">
      <c r="A242" s="2">
        <v>44752</v>
      </c>
      <c r="B242" s="1" t="s">
        <v>9</v>
      </c>
      <c r="C242" s="1" t="s">
        <v>264</v>
      </c>
      <c r="D242" s="5">
        <v>19</v>
      </c>
      <c r="E242" s="5">
        <v>-2.33</v>
      </c>
      <c r="F242" s="5">
        <v>0</v>
      </c>
      <c r="G242" s="5">
        <f t="shared" si="3"/>
        <v>16.670000000000002</v>
      </c>
    </row>
    <row r="243" spans="1:7" x14ac:dyDescent="0.25">
      <c r="A243" s="2">
        <v>44752</v>
      </c>
      <c r="B243" s="1" t="s">
        <v>9</v>
      </c>
      <c r="C243" s="1" t="s">
        <v>265</v>
      </c>
      <c r="D243" s="5">
        <v>30</v>
      </c>
      <c r="E243" s="5">
        <v>-3.48</v>
      </c>
      <c r="F243" s="5">
        <v>0</v>
      </c>
      <c r="G243" s="5">
        <f t="shared" si="3"/>
        <v>26.52</v>
      </c>
    </row>
    <row r="244" spans="1:7" x14ac:dyDescent="0.25">
      <c r="A244" s="2">
        <v>44752</v>
      </c>
      <c r="B244" s="1" t="s">
        <v>9</v>
      </c>
      <c r="C244" s="1" t="s">
        <v>266</v>
      </c>
      <c r="D244" s="5">
        <v>15</v>
      </c>
      <c r="E244" s="5">
        <v>-1.91</v>
      </c>
      <c r="F244" s="5">
        <v>0</v>
      </c>
      <c r="G244" s="5">
        <f t="shared" si="3"/>
        <v>13.09</v>
      </c>
    </row>
    <row r="245" spans="1:7" x14ac:dyDescent="0.25">
      <c r="A245" s="2">
        <v>44753</v>
      </c>
      <c r="B245" s="1" t="s">
        <v>9</v>
      </c>
      <c r="C245" s="1" t="s">
        <v>267</v>
      </c>
      <c r="D245" s="5">
        <v>40</v>
      </c>
      <c r="E245" s="5">
        <v>-4.58</v>
      </c>
      <c r="F245" s="5">
        <v>-40</v>
      </c>
      <c r="G245" s="5">
        <f t="shared" si="3"/>
        <v>35.42</v>
      </c>
    </row>
    <row r="246" spans="1:7" x14ac:dyDescent="0.25">
      <c r="A246" s="2">
        <v>44754</v>
      </c>
      <c r="B246" s="1" t="s">
        <v>9</v>
      </c>
      <c r="C246" s="1" t="s">
        <v>268</v>
      </c>
      <c r="D246" s="5">
        <v>30</v>
      </c>
      <c r="E246" s="5">
        <v>-3.49</v>
      </c>
      <c r="F246" s="5">
        <v>0</v>
      </c>
      <c r="G246" s="5">
        <f t="shared" si="3"/>
        <v>26.509999999999998</v>
      </c>
    </row>
    <row r="247" spans="1:7" x14ac:dyDescent="0.25">
      <c r="A247" s="2">
        <v>44755</v>
      </c>
      <c r="B247" s="1" t="s">
        <v>9</v>
      </c>
      <c r="C247" s="1" t="s">
        <v>269</v>
      </c>
      <c r="D247" s="5">
        <v>29</v>
      </c>
      <c r="E247" s="5">
        <v>-3.37</v>
      </c>
      <c r="F247" s="5">
        <v>0</v>
      </c>
      <c r="G247" s="5">
        <f t="shared" si="3"/>
        <v>25.63</v>
      </c>
    </row>
    <row r="248" spans="1:7" x14ac:dyDescent="0.25">
      <c r="A248" s="2">
        <v>44755</v>
      </c>
      <c r="B248" s="1" t="s">
        <v>9</v>
      </c>
      <c r="C248" s="1" t="s">
        <v>270</v>
      </c>
      <c r="D248" s="5">
        <v>19</v>
      </c>
      <c r="E248" s="5">
        <v>-2.35</v>
      </c>
      <c r="F248" s="5">
        <v>0</v>
      </c>
      <c r="G248" s="5">
        <f t="shared" si="3"/>
        <v>16.649999999999999</v>
      </c>
    </row>
    <row r="249" spans="1:7" x14ac:dyDescent="0.25">
      <c r="A249" s="2">
        <v>44756</v>
      </c>
      <c r="B249" s="1" t="s">
        <v>9</v>
      </c>
      <c r="C249" s="1" t="s">
        <v>271</v>
      </c>
      <c r="D249" s="5">
        <v>120</v>
      </c>
      <c r="E249" s="5">
        <v>-12.89</v>
      </c>
      <c r="F249" s="5">
        <v>0</v>
      </c>
      <c r="G249" s="5">
        <f t="shared" si="3"/>
        <v>107.11</v>
      </c>
    </row>
    <row r="250" spans="1:7" x14ac:dyDescent="0.25">
      <c r="A250" s="2">
        <v>44757</v>
      </c>
      <c r="B250" s="1" t="s">
        <v>9</v>
      </c>
      <c r="C250" s="1" t="s">
        <v>12</v>
      </c>
      <c r="D250" s="5">
        <v>59</v>
      </c>
      <c r="E250" s="5">
        <v>-6.49</v>
      </c>
      <c r="F250" s="5">
        <v>0</v>
      </c>
      <c r="G250" s="5">
        <f t="shared" si="3"/>
        <v>52.51</v>
      </c>
    </row>
    <row r="251" spans="1:7" x14ac:dyDescent="0.25">
      <c r="A251" s="2">
        <v>44757</v>
      </c>
      <c r="B251" s="1" t="s">
        <v>9</v>
      </c>
      <c r="C251" s="1" t="s">
        <v>214</v>
      </c>
      <c r="D251" s="5">
        <v>19</v>
      </c>
      <c r="E251" s="5">
        <v>-2.33</v>
      </c>
      <c r="F251" s="5">
        <v>0</v>
      </c>
      <c r="G251" s="5">
        <f t="shared" si="3"/>
        <v>16.670000000000002</v>
      </c>
    </row>
    <row r="252" spans="1:7" x14ac:dyDescent="0.25">
      <c r="A252" s="2">
        <v>44759</v>
      </c>
      <c r="B252" s="1" t="s">
        <v>9</v>
      </c>
      <c r="C252" s="1" t="s">
        <v>272</v>
      </c>
      <c r="D252" s="5">
        <v>22</v>
      </c>
      <c r="E252" s="5">
        <v>-2.63</v>
      </c>
      <c r="F252" s="5">
        <v>0</v>
      </c>
      <c r="G252" s="5">
        <f t="shared" si="3"/>
        <v>19.37</v>
      </c>
    </row>
    <row r="253" spans="1:7" x14ac:dyDescent="0.25">
      <c r="A253" s="2">
        <v>44759</v>
      </c>
      <c r="B253" s="1" t="s">
        <v>9</v>
      </c>
      <c r="C253" s="1" t="s">
        <v>273</v>
      </c>
      <c r="D253" s="5">
        <v>19</v>
      </c>
      <c r="E253" s="5">
        <v>-2.2799999999999998</v>
      </c>
      <c r="F253" s="5">
        <v>0</v>
      </c>
      <c r="G253" s="5">
        <f t="shared" si="3"/>
        <v>16.72</v>
      </c>
    </row>
    <row r="254" spans="1:7" x14ac:dyDescent="0.25">
      <c r="A254" s="2">
        <v>44760</v>
      </c>
      <c r="B254" s="1" t="s">
        <v>9</v>
      </c>
      <c r="C254" s="1" t="s">
        <v>274</v>
      </c>
      <c r="D254" s="5">
        <v>19</v>
      </c>
      <c r="E254" s="5">
        <v>-2.4900000000000002</v>
      </c>
      <c r="F254" s="5">
        <v>0</v>
      </c>
      <c r="G254" s="5">
        <f t="shared" si="3"/>
        <v>16.509999999999998</v>
      </c>
    </row>
    <row r="255" spans="1:7" x14ac:dyDescent="0.25">
      <c r="A255" s="2">
        <v>44766</v>
      </c>
      <c r="B255" s="1" t="s">
        <v>9</v>
      </c>
      <c r="C255" s="1" t="s">
        <v>275</v>
      </c>
      <c r="D255" s="5">
        <v>15</v>
      </c>
      <c r="E255" s="5">
        <v>-1.87</v>
      </c>
      <c r="F255" s="5">
        <v>0</v>
      </c>
      <c r="G255" s="5">
        <f t="shared" si="3"/>
        <v>13.129999999999999</v>
      </c>
    </row>
    <row r="256" spans="1:7" x14ac:dyDescent="0.25">
      <c r="A256" s="2">
        <v>44767</v>
      </c>
      <c r="B256" s="1" t="s">
        <v>9</v>
      </c>
      <c r="C256" s="1" t="s">
        <v>276</v>
      </c>
      <c r="D256" s="5">
        <v>49</v>
      </c>
      <c r="E256" s="5">
        <v>-5.54</v>
      </c>
      <c r="F256" s="5">
        <v>0</v>
      </c>
      <c r="G256" s="5">
        <f t="shared" si="3"/>
        <v>43.46</v>
      </c>
    </row>
    <row r="257" spans="1:7" x14ac:dyDescent="0.25">
      <c r="A257" s="2">
        <v>44768</v>
      </c>
      <c r="B257" s="1" t="s">
        <v>9</v>
      </c>
      <c r="C257" s="1" t="s">
        <v>277</v>
      </c>
      <c r="D257" s="5">
        <v>59</v>
      </c>
      <c r="E257" s="5">
        <v>-6.61</v>
      </c>
      <c r="F257" s="5">
        <v>0</v>
      </c>
      <c r="G257" s="5">
        <f t="shared" si="3"/>
        <v>52.39</v>
      </c>
    </row>
    <row r="258" spans="1:7" x14ac:dyDescent="0.25">
      <c r="A258" s="2">
        <v>44770</v>
      </c>
      <c r="B258" s="1" t="s">
        <v>9</v>
      </c>
      <c r="C258" s="1" t="s">
        <v>278</v>
      </c>
      <c r="D258" s="5">
        <v>99</v>
      </c>
      <c r="E258" s="5">
        <v>-11.73</v>
      </c>
      <c r="F258" s="5">
        <v>0</v>
      </c>
      <c r="G258" s="5">
        <f t="shared" si="3"/>
        <v>87.27</v>
      </c>
    </row>
    <row r="259" spans="1:7" x14ac:dyDescent="0.25">
      <c r="A259" s="2">
        <v>44773</v>
      </c>
      <c r="B259" s="1" t="s">
        <v>9</v>
      </c>
      <c r="C259" s="1" t="s">
        <v>279</v>
      </c>
      <c r="D259" s="5">
        <v>89</v>
      </c>
      <c r="E259" s="5">
        <v>-9.64</v>
      </c>
      <c r="F259" s="5">
        <v>0</v>
      </c>
      <c r="G259" s="5">
        <f t="shared" ref="G259:G322" si="4">D259+E259</f>
        <v>79.36</v>
      </c>
    </row>
    <row r="260" spans="1:7" x14ac:dyDescent="0.25">
      <c r="A260" s="2">
        <v>44774</v>
      </c>
      <c r="B260" s="1" t="s">
        <v>9</v>
      </c>
      <c r="C260" s="1" t="s">
        <v>280</v>
      </c>
      <c r="D260" s="5">
        <v>219</v>
      </c>
      <c r="E260" s="5">
        <v>-23.44</v>
      </c>
      <c r="F260" s="5">
        <v>0</v>
      </c>
      <c r="G260" s="5">
        <f t="shared" si="4"/>
        <v>195.56</v>
      </c>
    </row>
    <row r="261" spans="1:7" x14ac:dyDescent="0.25">
      <c r="A261" s="2">
        <v>44774</v>
      </c>
      <c r="B261" s="1" t="s">
        <v>9</v>
      </c>
      <c r="C261" s="1" t="s">
        <v>159</v>
      </c>
      <c r="D261" s="5">
        <v>69</v>
      </c>
      <c r="E261" s="5">
        <v>-7.68</v>
      </c>
      <c r="F261" s="5">
        <v>0</v>
      </c>
      <c r="G261" s="5">
        <f t="shared" si="4"/>
        <v>61.32</v>
      </c>
    </row>
    <row r="262" spans="1:7" x14ac:dyDescent="0.25">
      <c r="A262" s="2">
        <v>44775</v>
      </c>
      <c r="B262" s="1" t="s">
        <v>9</v>
      </c>
      <c r="C262" s="1" t="s">
        <v>281</v>
      </c>
      <c r="D262" s="5">
        <v>80</v>
      </c>
      <c r="E262" s="5">
        <v>-8.83</v>
      </c>
      <c r="F262" s="5">
        <v>0</v>
      </c>
      <c r="G262" s="5">
        <f t="shared" si="4"/>
        <v>71.17</v>
      </c>
    </row>
    <row r="263" spans="1:7" x14ac:dyDescent="0.25">
      <c r="A263" s="2">
        <v>44776</v>
      </c>
      <c r="B263" s="1" t="s">
        <v>9</v>
      </c>
      <c r="C263" s="1" t="s">
        <v>282</v>
      </c>
      <c r="D263" s="5">
        <v>69</v>
      </c>
      <c r="E263" s="5">
        <v>-7.61</v>
      </c>
      <c r="F263" s="5">
        <v>0</v>
      </c>
      <c r="G263" s="5">
        <f t="shared" si="4"/>
        <v>61.39</v>
      </c>
    </row>
    <row r="264" spans="1:7" x14ac:dyDescent="0.25">
      <c r="A264" s="2">
        <v>44780</v>
      </c>
      <c r="B264" s="1" t="s">
        <v>9</v>
      </c>
      <c r="C264" s="1" t="s">
        <v>283</v>
      </c>
      <c r="D264" s="5">
        <v>15</v>
      </c>
      <c r="E264" s="5">
        <v>-1.9</v>
      </c>
      <c r="F264" s="5">
        <v>0</v>
      </c>
      <c r="G264" s="5">
        <f t="shared" si="4"/>
        <v>13.1</v>
      </c>
    </row>
    <row r="265" spans="1:7" x14ac:dyDescent="0.25">
      <c r="A265" s="2">
        <v>44781</v>
      </c>
      <c r="B265" s="1" t="s">
        <v>9</v>
      </c>
      <c r="C265" s="1" t="s">
        <v>284</v>
      </c>
      <c r="D265" s="5">
        <v>45</v>
      </c>
      <c r="E265" s="5">
        <v>-4.76</v>
      </c>
      <c r="F265" s="5">
        <v>0</v>
      </c>
      <c r="G265" s="5">
        <f t="shared" si="4"/>
        <v>40.24</v>
      </c>
    </row>
    <row r="266" spans="1:7" x14ac:dyDescent="0.25">
      <c r="A266" s="2">
        <v>44781</v>
      </c>
      <c r="B266" s="1" t="s">
        <v>9</v>
      </c>
      <c r="C266" s="1" t="s">
        <v>285</v>
      </c>
      <c r="D266" s="5">
        <v>29</v>
      </c>
      <c r="E266" s="5">
        <v>-3.37</v>
      </c>
      <c r="F266" s="5">
        <v>0</v>
      </c>
      <c r="G266" s="5">
        <f t="shared" si="4"/>
        <v>25.63</v>
      </c>
    </row>
    <row r="267" spans="1:7" x14ac:dyDescent="0.25">
      <c r="A267" s="2">
        <v>44781</v>
      </c>
      <c r="B267" s="1" t="s">
        <v>9</v>
      </c>
      <c r="C267" s="1" t="s">
        <v>286</v>
      </c>
      <c r="D267" s="5">
        <v>19</v>
      </c>
      <c r="E267" s="5">
        <v>-2.31</v>
      </c>
      <c r="F267" s="5">
        <v>0</v>
      </c>
      <c r="G267" s="5">
        <f t="shared" si="4"/>
        <v>16.690000000000001</v>
      </c>
    </row>
    <row r="268" spans="1:7" x14ac:dyDescent="0.25">
      <c r="A268" s="2">
        <v>44781</v>
      </c>
      <c r="B268" s="1" t="s">
        <v>9</v>
      </c>
      <c r="C268" s="1" t="s">
        <v>287</v>
      </c>
      <c r="D268" s="5">
        <v>9</v>
      </c>
      <c r="E268" s="5">
        <v>-1.23</v>
      </c>
      <c r="F268" s="5">
        <v>0</v>
      </c>
      <c r="G268" s="5">
        <f t="shared" si="4"/>
        <v>7.77</v>
      </c>
    </row>
    <row r="269" spans="1:7" x14ac:dyDescent="0.25">
      <c r="A269" s="2">
        <v>44781</v>
      </c>
      <c r="B269" s="1" t="s">
        <v>9</v>
      </c>
      <c r="C269" s="1" t="s">
        <v>288</v>
      </c>
      <c r="D269" s="5">
        <v>9</v>
      </c>
      <c r="E269" s="5">
        <v>-1.24</v>
      </c>
      <c r="F269" s="5">
        <v>0</v>
      </c>
      <c r="G269" s="5">
        <f t="shared" si="4"/>
        <v>7.76</v>
      </c>
    </row>
    <row r="270" spans="1:7" x14ac:dyDescent="0.25">
      <c r="A270" s="2">
        <v>44781</v>
      </c>
      <c r="B270" s="1" t="s">
        <v>9</v>
      </c>
      <c r="C270" s="1" t="s">
        <v>289</v>
      </c>
      <c r="D270" s="5">
        <v>19</v>
      </c>
      <c r="E270" s="5">
        <v>-2.33</v>
      </c>
      <c r="F270" s="5">
        <v>0</v>
      </c>
      <c r="G270" s="5">
        <f t="shared" si="4"/>
        <v>16.670000000000002</v>
      </c>
    </row>
    <row r="271" spans="1:7" x14ac:dyDescent="0.25">
      <c r="A271" s="2">
        <v>44782</v>
      </c>
      <c r="B271" s="1" t="s">
        <v>9</v>
      </c>
      <c r="C271" s="1" t="s">
        <v>290</v>
      </c>
      <c r="D271" s="5">
        <v>79</v>
      </c>
      <c r="E271" s="5">
        <v>-8.59</v>
      </c>
      <c r="F271" s="5">
        <v>0</v>
      </c>
      <c r="G271" s="5">
        <f t="shared" si="4"/>
        <v>70.41</v>
      </c>
    </row>
    <row r="272" spans="1:7" x14ac:dyDescent="0.25">
      <c r="A272" s="2">
        <v>44782</v>
      </c>
      <c r="B272" s="1" t="s">
        <v>9</v>
      </c>
      <c r="C272" s="1" t="s">
        <v>11</v>
      </c>
      <c r="D272" s="5">
        <v>89</v>
      </c>
      <c r="E272" s="5">
        <v>-9.64</v>
      </c>
      <c r="F272" s="5">
        <v>0</v>
      </c>
      <c r="G272" s="5">
        <f t="shared" si="4"/>
        <v>79.36</v>
      </c>
    </row>
    <row r="273" spans="1:7" x14ac:dyDescent="0.25">
      <c r="A273" s="2">
        <v>44782</v>
      </c>
      <c r="B273" s="1" t="s">
        <v>9</v>
      </c>
      <c r="C273" s="1" t="s">
        <v>291</v>
      </c>
      <c r="D273" s="5">
        <v>19</v>
      </c>
      <c r="E273" s="5">
        <v>-2.2799999999999998</v>
      </c>
      <c r="F273" s="5">
        <v>0</v>
      </c>
      <c r="G273" s="5">
        <f t="shared" si="4"/>
        <v>16.72</v>
      </c>
    </row>
    <row r="274" spans="1:7" x14ac:dyDescent="0.25">
      <c r="A274" s="2">
        <v>44783</v>
      </c>
      <c r="B274" s="1" t="s">
        <v>9</v>
      </c>
      <c r="C274" s="1" t="s">
        <v>292</v>
      </c>
      <c r="D274" s="5">
        <v>77</v>
      </c>
      <c r="E274" s="5">
        <v>-9.19</v>
      </c>
      <c r="F274" s="5">
        <v>0</v>
      </c>
      <c r="G274" s="5">
        <f t="shared" si="4"/>
        <v>67.81</v>
      </c>
    </row>
    <row r="275" spans="1:7" x14ac:dyDescent="0.25">
      <c r="A275" s="2">
        <v>44790</v>
      </c>
      <c r="B275" s="1" t="s">
        <v>9</v>
      </c>
      <c r="C275" s="1" t="s">
        <v>293</v>
      </c>
      <c r="D275" s="5">
        <v>75</v>
      </c>
      <c r="E275" s="5">
        <v>-8.17</v>
      </c>
      <c r="F275" s="5">
        <v>0</v>
      </c>
      <c r="G275" s="5">
        <f t="shared" si="4"/>
        <v>66.83</v>
      </c>
    </row>
    <row r="276" spans="1:7" x14ac:dyDescent="0.25">
      <c r="A276" s="2">
        <v>44792</v>
      </c>
      <c r="B276" s="1" t="s">
        <v>9</v>
      </c>
      <c r="C276" s="1" t="s">
        <v>249</v>
      </c>
      <c r="D276" s="5">
        <v>70</v>
      </c>
      <c r="E276" s="5">
        <v>-7.58</v>
      </c>
      <c r="F276" s="5">
        <v>0</v>
      </c>
      <c r="G276" s="5">
        <f t="shared" si="4"/>
        <v>62.42</v>
      </c>
    </row>
    <row r="277" spans="1:7" x14ac:dyDescent="0.25">
      <c r="A277" s="2">
        <v>44792</v>
      </c>
      <c r="B277" s="1" t="s">
        <v>9</v>
      </c>
      <c r="C277" s="1" t="s">
        <v>294</v>
      </c>
      <c r="D277" s="5">
        <v>9</v>
      </c>
      <c r="E277" s="5">
        <v>-1.19</v>
      </c>
      <c r="F277" s="5">
        <v>0</v>
      </c>
      <c r="G277" s="5">
        <f t="shared" si="4"/>
        <v>7.8100000000000005</v>
      </c>
    </row>
    <row r="278" spans="1:7" x14ac:dyDescent="0.25">
      <c r="A278" s="2">
        <v>44795</v>
      </c>
      <c r="B278" s="1" t="s">
        <v>9</v>
      </c>
      <c r="C278" s="1" t="s">
        <v>295</v>
      </c>
      <c r="D278" s="5">
        <v>35</v>
      </c>
      <c r="E278" s="5">
        <v>-4.0199999999999996</v>
      </c>
      <c r="F278" s="5">
        <v>0</v>
      </c>
      <c r="G278" s="5">
        <f t="shared" si="4"/>
        <v>30.98</v>
      </c>
    </row>
    <row r="279" spans="1:7" x14ac:dyDescent="0.25">
      <c r="A279" s="2">
        <v>44796</v>
      </c>
      <c r="B279" s="1" t="s">
        <v>9</v>
      </c>
      <c r="C279" s="1" t="s">
        <v>296</v>
      </c>
      <c r="D279" s="5">
        <v>24</v>
      </c>
      <c r="E279" s="5">
        <v>-2.87</v>
      </c>
      <c r="F279" s="5">
        <v>0</v>
      </c>
      <c r="G279" s="5">
        <f t="shared" si="4"/>
        <v>21.13</v>
      </c>
    </row>
    <row r="280" spans="1:7" x14ac:dyDescent="0.25">
      <c r="A280" s="2">
        <v>44797</v>
      </c>
      <c r="B280" s="1" t="s">
        <v>9</v>
      </c>
      <c r="C280" s="1" t="s">
        <v>297</v>
      </c>
      <c r="D280" s="5">
        <v>30</v>
      </c>
      <c r="E280" s="5">
        <v>-3.43</v>
      </c>
      <c r="F280" s="5">
        <v>0</v>
      </c>
      <c r="G280" s="5">
        <f t="shared" si="4"/>
        <v>26.57</v>
      </c>
    </row>
    <row r="281" spans="1:7" x14ac:dyDescent="0.25">
      <c r="A281" s="2">
        <v>44797</v>
      </c>
      <c r="B281" s="1" t="s">
        <v>9</v>
      </c>
      <c r="C281" s="1" t="s">
        <v>298</v>
      </c>
      <c r="D281" s="5">
        <v>34</v>
      </c>
      <c r="E281" s="5">
        <v>-3.93</v>
      </c>
      <c r="F281" s="5">
        <v>0</v>
      </c>
      <c r="G281" s="5">
        <f t="shared" si="4"/>
        <v>30.07</v>
      </c>
    </row>
    <row r="282" spans="1:7" x14ac:dyDescent="0.25">
      <c r="A282" s="2">
        <v>44797</v>
      </c>
      <c r="B282" s="1" t="s">
        <v>9</v>
      </c>
      <c r="C282" s="1" t="s">
        <v>299</v>
      </c>
      <c r="D282" s="5">
        <v>29</v>
      </c>
      <c r="E282" s="5">
        <v>-3.34</v>
      </c>
      <c r="F282" s="5">
        <v>0</v>
      </c>
      <c r="G282" s="5">
        <f t="shared" si="4"/>
        <v>25.66</v>
      </c>
    </row>
    <row r="283" spans="1:7" x14ac:dyDescent="0.25">
      <c r="A283" s="2">
        <v>44798</v>
      </c>
      <c r="B283" s="1" t="s">
        <v>9</v>
      </c>
      <c r="C283" s="1" t="s">
        <v>300</v>
      </c>
      <c r="D283" s="5">
        <v>49</v>
      </c>
      <c r="E283" s="5">
        <v>-5.44</v>
      </c>
      <c r="F283" s="5">
        <v>0</v>
      </c>
      <c r="G283" s="5">
        <f t="shared" si="4"/>
        <v>43.56</v>
      </c>
    </row>
    <row r="284" spans="1:7" x14ac:dyDescent="0.25">
      <c r="A284" s="2">
        <v>44799</v>
      </c>
      <c r="B284" s="1" t="s">
        <v>9</v>
      </c>
      <c r="C284" s="1" t="s">
        <v>301</v>
      </c>
      <c r="D284" s="5">
        <v>9</v>
      </c>
      <c r="E284" s="5">
        <v>-1.25</v>
      </c>
      <c r="F284" s="5">
        <v>0</v>
      </c>
      <c r="G284" s="5">
        <f t="shared" si="4"/>
        <v>7.75</v>
      </c>
    </row>
    <row r="285" spans="1:7" x14ac:dyDescent="0.25">
      <c r="A285" s="2">
        <v>44802</v>
      </c>
      <c r="B285" s="1" t="s">
        <v>9</v>
      </c>
      <c r="C285" s="1" t="s">
        <v>302</v>
      </c>
      <c r="D285" s="5">
        <v>29</v>
      </c>
      <c r="E285" s="5">
        <v>-3.17</v>
      </c>
      <c r="F285" s="5">
        <v>0</v>
      </c>
      <c r="G285" s="5">
        <f t="shared" si="4"/>
        <v>25.83</v>
      </c>
    </row>
    <row r="286" spans="1:7" x14ac:dyDescent="0.25">
      <c r="A286" s="2">
        <v>44802</v>
      </c>
      <c r="B286" s="1" t="s">
        <v>9</v>
      </c>
      <c r="C286" s="1" t="s">
        <v>303</v>
      </c>
      <c r="D286" s="5">
        <v>30</v>
      </c>
      <c r="E286" s="5">
        <v>-3.49</v>
      </c>
      <c r="F286" s="5">
        <v>0</v>
      </c>
      <c r="G286" s="5">
        <f t="shared" si="4"/>
        <v>26.509999999999998</v>
      </c>
    </row>
    <row r="287" spans="1:7" x14ac:dyDescent="0.25">
      <c r="A287" s="2">
        <v>44802</v>
      </c>
      <c r="B287" s="1" t="s">
        <v>9</v>
      </c>
      <c r="C287" s="1" t="s">
        <v>304</v>
      </c>
      <c r="D287" s="5">
        <v>59</v>
      </c>
      <c r="E287" s="5">
        <v>-6.66</v>
      </c>
      <c r="F287" s="5">
        <v>0</v>
      </c>
      <c r="G287" s="5">
        <f t="shared" si="4"/>
        <v>52.34</v>
      </c>
    </row>
    <row r="288" spans="1:7" x14ac:dyDescent="0.25">
      <c r="A288" s="2">
        <v>44802</v>
      </c>
      <c r="B288" s="1" t="s">
        <v>9</v>
      </c>
      <c r="C288" s="1" t="s">
        <v>305</v>
      </c>
      <c r="D288" s="5">
        <v>200</v>
      </c>
      <c r="E288" s="5">
        <v>-21.29</v>
      </c>
      <c r="F288" s="5">
        <v>0</v>
      </c>
      <c r="G288" s="5">
        <f t="shared" si="4"/>
        <v>178.71</v>
      </c>
    </row>
    <row r="289" spans="1:7" x14ac:dyDescent="0.25">
      <c r="A289" s="2">
        <v>44802</v>
      </c>
      <c r="B289" s="1" t="s">
        <v>9</v>
      </c>
      <c r="C289" s="1" t="s">
        <v>306</v>
      </c>
      <c r="D289" s="5">
        <v>59</v>
      </c>
      <c r="E289" s="5">
        <v>-6.73</v>
      </c>
      <c r="F289" s="5">
        <v>0</v>
      </c>
      <c r="G289" s="5">
        <f t="shared" si="4"/>
        <v>52.269999999999996</v>
      </c>
    </row>
    <row r="290" spans="1:7" x14ac:dyDescent="0.25">
      <c r="A290" s="2">
        <v>44804</v>
      </c>
      <c r="B290" s="1" t="s">
        <v>9</v>
      </c>
      <c r="C290" s="1" t="s">
        <v>307</v>
      </c>
      <c r="D290" s="5">
        <v>19</v>
      </c>
      <c r="E290" s="5">
        <v>-2.2799999999999998</v>
      </c>
      <c r="F290" s="5">
        <v>0</v>
      </c>
      <c r="G290" s="5">
        <f t="shared" si="4"/>
        <v>16.72</v>
      </c>
    </row>
    <row r="291" spans="1:7" x14ac:dyDescent="0.25">
      <c r="A291" s="2">
        <v>44804</v>
      </c>
      <c r="B291" s="1" t="s">
        <v>9</v>
      </c>
      <c r="C291" s="1" t="s">
        <v>308</v>
      </c>
      <c r="D291" s="5">
        <v>169</v>
      </c>
      <c r="E291" s="5">
        <v>-19.82</v>
      </c>
      <c r="F291" s="5">
        <v>0</v>
      </c>
      <c r="G291" s="5">
        <f t="shared" si="4"/>
        <v>149.18</v>
      </c>
    </row>
    <row r="292" spans="1:7" x14ac:dyDescent="0.25">
      <c r="A292" s="2">
        <v>44805</v>
      </c>
      <c r="B292" s="1" t="s">
        <v>9</v>
      </c>
      <c r="C292" s="1" t="s">
        <v>309</v>
      </c>
      <c r="D292" s="5">
        <v>19</v>
      </c>
      <c r="E292" s="5">
        <v>-2.29</v>
      </c>
      <c r="F292" s="5">
        <v>0</v>
      </c>
      <c r="G292" s="5">
        <f t="shared" si="4"/>
        <v>16.71</v>
      </c>
    </row>
    <row r="293" spans="1:7" x14ac:dyDescent="0.25">
      <c r="A293" s="2">
        <v>44805</v>
      </c>
      <c r="B293" s="1" t="s">
        <v>9</v>
      </c>
      <c r="C293" s="1" t="s">
        <v>310</v>
      </c>
      <c r="D293" s="5">
        <v>80</v>
      </c>
      <c r="E293" s="5">
        <v>-8.85</v>
      </c>
      <c r="F293" s="5">
        <v>0</v>
      </c>
      <c r="G293" s="5">
        <f t="shared" si="4"/>
        <v>71.150000000000006</v>
      </c>
    </row>
    <row r="294" spans="1:7" x14ac:dyDescent="0.25">
      <c r="A294" s="2">
        <v>44805</v>
      </c>
      <c r="B294" s="1" t="s">
        <v>9</v>
      </c>
      <c r="C294" s="1" t="s">
        <v>311</v>
      </c>
      <c r="D294" s="5">
        <v>33</v>
      </c>
      <c r="E294" s="5">
        <v>-3.94</v>
      </c>
      <c r="F294" s="5">
        <v>0</v>
      </c>
      <c r="G294" s="5">
        <f t="shared" si="4"/>
        <v>29.06</v>
      </c>
    </row>
    <row r="295" spans="1:7" x14ac:dyDescent="0.25">
      <c r="A295" s="2">
        <v>44805</v>
      </c>
      <c r="B295" s="1" t="s">
        <v>9</v>
      </c>
      <c r="C295" s="1" t="s">
        <v>312</v>
      </c>
      <c r="D295" s="5">
        <v>29</v>
      </c>
      <c r="E295" s="5">
        <v>-3.38</v>
      </c>
      <c r="F295" s="5">
        <v>0</v>
      </c>
      <c r="G295" s="5">
        <f t="shared" si="4"/>
        <v>25.62</v>
      </c>
    </row>
    <row r="296" spans="1:7" x14ac:dyDescent="0.25">
      <c r="A296" s="2">
        <v>44805</v>
      </c>
      <c r="B296" s="1" t="s">
        <v>9</v>
      </c>
      <c r="C296" s="1" t="s">
        <v>313</v>
      </c>
      <c r="D296" s="5">
        <v>79</v>
      </c>
      <c r="E296" s="5">
        <v>-8.8000000000000007</v>
      </c>
      <c r="F296" s="5">
        <v>0</v>
      </c>
      <c r="G296" s="5">
        <f t="shared" si="4"/>
        <v>70.2</v>
      </c>
    </row>
    <row r="297" spans="1:7" x14ac:dyDescent="0.25">
      <c r="A297" s="2">
        <v>44806</v>
      </c>
      <c r="B297" s="1" t="s">
        <v>9</v>
      </c>
      <c r="C297" s="1" t="s">
        <v>314</v>
      </c>
      <c r="D297" s="5">
        <v>15</v>
      </c>
      <c r="E297" s="5">
        <v>-1.89</v>
      </c>
      <c r="F297" s="5">
        <v>0</v>
      </c>
      <c r="G297" s="5">
        <f t="shared" si="4"/>
        <v>13.11</v>
      </c>
    </row>
    <row r="298" spans="1:7" x14ac:dyDescent="0.25">
      <c r="A298" s="2">
        <v>44810</v>
      </c>
      <c r="B298" s="1" t="s">
        <v>9</v>
      </c>
      <c r="C298" s="1" t="s">
        <v>315</v>
      </c>
      <c r="D298" s="5">
        <v>29</v>
      </c>
      <c r="E298" s="5">
        <v>-3.34</v>
      </c>
      <c r="F298" s="5">
        <v>0</v>
      </c>
      <c r="G298" s="5">
        <f t="shared" si="4"/>
        <v>25.66</v>
      </c>
    </row>
    <row r="299" spans="1:7" x14ac:dyDescent="0.25">
      <c r="A299" s="2">
        <v>44810</v>
      </c>
      <c r="B299" s="1" t="s">
        <v>9</v>
      </c>
      <c r="C299" s="1" t="s">
        <v>316</v>
      </c>
      <c r="D299" s="5">
        <v>30</v>
      </c>
      <c r="E299" s="5">
        <v>-3.48</v>
      </c>
      <c r="F299" s="5">
        <v>0</v>
      </c>
      <c r="G299" s="5">
        <f t="shared" si="4"/>
        <v>26.52</v>
      </c>
    </row>
    <row r="300" spans="1:7" x14ac:dyDescent="0.25">
      <c r="A300" s="2">
        <v>44810</v>
      </c>
      <c r="B300" s="1" t="s">
        <v>9</v>
      </c>
      <c r="C300" s="1" t="s">
        <v>317</v>
      </c>
      <c r="D300" s="5">
        <v>119</v>
      </c>
      <c r="E300" s="5">
        <v>-12.97</v>
      </c>
      <c r="F300" s="5">
        <v>0</v>
      </c>
      <c r="G300" s="5">
        <f t="shared" si="4"/>
        <v>106.03</v>
      </c>
    </row>
    <row r="301" spans="1:7" x14ac:dyDescent="0.25">
      <c r="A301" s="2">
        <v>44810</v>
      </c>
      <c r="B301" s="1" t="s">
        <v>9</v>
      </c>
      <c r="C301" s="1" t="s">
        <v>318</v>
      </c>
      <c r="D301" s="5">
        <v>19</v>
      </c>
      <c r="E301" s="5">
        <v>-2.34</v>
      </c>
      <c r="F301" s="5">
        <v>-19</v>
      </c>
      <c r="G301" s="5">
        <f t="shared" si="4"/>
        <v>16.66</v>
      </c>
    </row>
    <row r="302" spans="1:7" x14ac:dyDescent="0.25">
      <c r="A302" s="2">
        <v>44810</v>
      </c>
      <c r="B302" s="1" t="s">
        <v>9</v>
      </c>
      <c r="C302" s="1" t="s">
        <v>319</v>
      </c>
      <c r="D302" s="5">
        <v>25</v>
      </c>
      <c r="E302" s="5">
        <v>-2.94</v>
      </c>
      <c r="F302" s="5">
        <v>0</v>
      </c>
      <c r="G302" s="5">
        <f t="shared" si="4"/>
        <v>22.06</v>
      </c>
    </row>
    <row r="303" spans="1:7" x14ac:dyDescent="0.25">
      <c r="A303" s="2">
        <v>44811</v>
      </c>
      <c r="B303" s="1" t="s">
        <v>9</v>
      </c>
      <c r="C303" s="1" t="s">
        <v>320</v>
      </c>
      <c r="D303" s="5">
        <v>15</v>
      </c>
      <c r="E303" s="5">
        <v>-1.91</v>
      </c>
      <c r="F303" s="5">
        <v>0</v>
      </c>
      <c r="G303" s="5">
        <f t="shared" si="4"/>
        <v>13.09</v>
      </c>
    </row>
    <row r="304" spans="1:7" x14ac:dyDescent="0.25">
      <c r="A304" s="2">
        <v>44811</v>
      </c>
      <c r="B304" s="1" t="s">
        <v>9</v>
      </c>
      <c r="C304" s="1" t="s">
        <v>321</v>
      </c>
      <c r="D304" s="5">
        <v>29</v>
      </c>
      <c r="E304" s="5">
        <v>-3.4</v>
      </c>
      <c r="F304" s="5">
        <v>0</v>
      </c>
      <c r="G304" s="5">
        <f t="shared" si="4"/>
        <v>25.6</v>
      </c>
    </row>
    <row r="305" spans="1:7" x14ac:dyDescent="0.25">
      <c r="A305" s="2">
        <v>44812</v>
      </c>
      <c r="B305" s="1" t="s">
        <v>9</v>
      </c>
      <c r="C305" s="1" t="s">
        <v>322</v>
      </c>
      <c r="D305" s="5">
        <v>79</v>
      </c>
      <c r="E305" s="5">
        <v>-8.67</v>
      </c>
      <c r="F305" s="5">
        <v>-79</v>
      </c>
      <c r="G305" s="5">
        <f t="shared" si="4"/>
        <v>70.33</v>
      </c>
    </row>
    <row r="306" spans="1:7" x14ac:dyDescent="0.25">
      <c r="A306" s="2">
        <v>44812</v>
      </c>
      <c r="B306" s="1" t="s">
        <v>9</v>
      </c>
      <c r="C306" s="1" t="s">
        <v>323</v>
      </c>
      <c r="D306" s="5">
        <v>98</v>
      </c>
      <c r="E306" s="5">
        <v>-10.78</v>
      </c>
      <c r="F306" s="5">
        <v>0</v>
      </c>
      <c r="G306" s="5">
        <f t="shared" si="4"/>
        <v>87.22</v>
      </c>
    </row>
    <row r="307" spans="1:7" x14ac:dyDescent="0.25">
      <c r="A307" s="2">
        <v>44816</v>
      </c>
      <c r="B307" s="1" t="s">
        <v>9</v>
      </c>
      <c r="C307" s="1" t="s">
        <v>324</v>
      </c>
      <c r="D307" s="5">
        <v>35</v>
      </c>
      <c r="E307" s="5">
        <v>-3.98</v>
      </c>
      <c r="F307" s="5">
        <v>0</v>
      </c>
      <c r="G307" s="5">
        <f t="shared" si="4"/>
        <v>31.02</v>
      </c>
    </row>
    <row r="308" spans="1:7" x14ac:dyDescent="0.25">
      <c r="A308" s="2">
        <v>44818</v>
      </c>
      <c r="B308" s="1" t="s">
        <v>9</v>
      </c>
      <c r="C308" s="1" t="s">
        <v>325</v>
      </c>
      <c r="D308" s="5">
        <v>15</v>
      </c>
      <c r="E308" s="5">
        <v>-1.92</v>
      </c>
      <c r="F308" s="5">
        <v>0</v>
      </c>
      <c r="G308" s="5">
        <f t="shared" si="4"/>
        <v>13.08</v>
      </c>
    </row>
    <row r="309" spans="1:7" x14ac:dyDescent="0.25">
      <c r="A309" s="2">
        <v>44819</v>
      </c>
      <c r="B309" s="1" t="s">
        <v>9</v>
      </c>
      <c r="C309" s="1" t="s">
        <v>202</v>
      </c>
      <c r="D309" s="5">
        <v>19</v>
      </c>
      <c r="E309" s="5">
        <v>-2.1800000000000002</v>
      </c>
      <c r="F309" s="5">
        <v>0</v>
      </c>
      <c r="G309" s="5">
        <f t="shared" si="4"/>
        <v>16.82</v>
      </c>
    </row>
    <row r="310" spans="1:7" x14ac:dyDescent="0.25">
      <c r="A310" s="2">
        <v>44819</v>
      </c>
      <c r="B310" s="1" t="s">
        <v>9</v>
      </c>
      <c r="C310" s="1" t="s">
        <v>326</v>
      </c>
      <c r="D310" s="5">
        <v>60</v>
      </c>
      <c r="E310" s="5">
        <v>-6.66</v>
      </c>
      <c r="F310" s="5">
        <v>0</v>
      </c>
      <c r="G310" s="5">
        <f t="shared" si="4"/>
        <v>53.34</v>
      </c>
    </row>
    <row r="311" spans="1:7" x14ac:dyDescent="0.25">
      <c r="A311" s="2">
        <v>44820</v>
      </c>
      <c r="B311" s="1" t="s">
        <v>9</v>
      </c>
      <c r="C311" s="1" t="s">
        <v>327</v>
      </c>
      <c r="D311" s="5">
        <v>79</v>
      </c>
      <c r="E311" s="5">
        <v>-8.75</v>
      </c>
      <c r="F311" s="5">
        <v>0</v>
      </c>
      <c r="G311" s="5">
        <f t="shared" si="4"/>
        <v>70.25</v>
      </c>
    </row>
    <row r="312" spans="1:7" x14ac:dyDescent="0.25">
      <c r="A312" s="2">
        <v>44820</v>
      </c>
      <c r="B312" s="1" t="s">
        <v>9</v>
      </c>
      <c r="C312" s="1" t="s">
        <v>328</v>
      </c>
      <c r="D312" s="5">
        <v>19</v>
      </c>
      <c r="E312" s="5">
        <v>-2.29</v>
      </c>
      <c r="F312" s="5">
        <v>0</v>
      </c>
      <c r="G312" s="5">
        <f t="shared" si="4"/>
        <v>16.71</v>
      </c>
    </row>
    <row r="313" spans="1:7" x14ac:dyDescent="0.25">
      <c r="A313" s="2">
        <v>44822</v>
      </c>
      <c r="B313" s="1" t="s">
        <v>9</v>
      </c>
      <c r="C313" s="1" t="s">
        <v>329</v>
      </c>
      <c r="D313" s="5">
        <v>30</v>
      </c>
      <c r="E313" s="5">
        <v>-3.77</v>
      </c>
      <c r="F313" s="5">
        <v>0</v>
      </c>
      <c r="G313" s="5">
        <f t="shared" si="4"/>
        <v>26.23</v>
      </c>
    </row>
    <row r="314" spans="1:7" x14ac:dyDescent="0.25">
      <c r="A314" s="2">
        <v>44822</v>
      </c>
      <c r="B314" s="1" t="s">
        <v>9</v>
      </c>
      <c r="C314" s="1" t="s">
        <v>330</v>
      </c>
      <c r="D314" s="5">
        <v>29</v>
      </c>
      <c r="E314" s="5">
        <v>-3.39</v>
      </c>
      <c r="F314" s="5">
        <v>0</v>
      </c>
      <c r="G314" s="5">
        <f t="shared" si="4"/>
        <v>25.61</v>
      </c>
    </row>
    <row r="315" spans="1:7" x14ac:dyDescent="0.25">
      <c r="A315" s="2">
        <v>44823</v>
      </c>
      <c r="B315" s="1" t="s">
        <v>9</v>
      </c>
      <c r="C315" s="1" t="s">
        <v>331</v>
      </c>
      <c r="D315" s="5">
        <v>20</v>
      </c>
      <c r="E315" s="5">
        <v>-2.44</v>
      </c>
      <c r="F315" s="5">
        <v>0</v>
      </c>
      <c r="G315" s="5">
        <f t="shared" si="4"/>
        <v>17.559999999999999</v>
      </c>
    </row>
    <row r="316" spans="1:7" x14ac:dyDescent="0.25">
      <c r="A316" s="2">
        <v>44823</v>
      </c>
      <c r="B316" s="1" t="s">
        <v>9</v>
      </c>
      <c r="C316" s="1" t="s">
        <v>332</v>
      </c>
      <c r="D316" s="5">
        <v>60</v>
      </c>
      <c r="E316" s="5">
        <v>-6.66</v>
      </c>
      <c r="F316" s="5">
        <v>0</v>
      </c>
      <c r="G316" s="5">
        <f t="shared" si="4"/>
        <v>53.34</v>
      </c>
    </row>
    <row r="317" spans="1:7" x14ac:dyDescent="0.25">
      <c r="A317" s="2">
        <v>44823</v>
      </c>
      <c r="B317" s="1" t="s">
        <v>9</v>
      </c>
      <c r="C317" s="1" t="s">
        <v>333</v>
      </c>
      <c r="D317" s="5">
        <v>39</v>
      </c>
      <c r="E317" s="5">
        <v>-4.37</v>
      </c>
      <c r="F317" s="5">
        <v>0</v>
      </c>
      <c r="G317" s="5">
        <f t="shared" si="4"/>
        <v>34.630000000000003</v>
      </c>
    </row>
    <row r="318" spans="1:7" x14ac:dyDescent="0.25">
      <c r="A318" s="2">
        <v>44825</v>
      </c>
      <c r="B318" s="1" t="s">
        <v>9</v>
      </c>
      <c r="C318" s="1" t="s">
        <v>334</v>
      </c>
      <c r="D318" s="5">
        <v>89</v>
      </c>
      <c r="E318" s="5">
        <v>-9.68</v>
      </c>
      <c r="F318" s="5">
        <v>0</v>
      </c>
      <c r="G318" s="5">
        <f t="shared" si="4"/>
        <v>79.319999999999993</v>
      </c>
    </row>
    <row r="319" spans="1:7" x14ac:dyDescent="0.25">
      <c r="A319" s="2">
        <v>44826</v>
      </c>
      <c r="B319" s="1" t="s">
        <v>9</v>
      </c>
      <c r="C319" s="1" t="s">
        <v>335</v>
      </c>
      <c r="D319" s="5">
        <v>80</v>
      </c>
      <c r="E319" s="5">
        <v>-8.74</v>
      </c>
      <c r="F319" s="5">
        <v>0</v>
      </c>
      <c r="G319" s="5">
        <f t="shared" si="4"/>
        <v>71.260000000000005</v>
      </c>
    </row>
    <row r="320" spans="1:7" x14ac:dyDescent="0.25">
      <c r="A320" s="2">
        <v>44826</v>
      </c>
      <c r="B320" s="1" t="s">
        <v>9</v>
      </c>
      <c r="C320" s="1" t="s">
        <v>336</v>
      </c>
      <c r="D320" s="5">
        <v>15</v>
      </c>
      <c r="E320" s="5">
        <v>-1.87</v>
      </c>
      <c r="F320" s="5">
        <v>0</v>
      </c>
      <c r="G320" s="5">
        <f t="shared" si="4"/>
        <v>13.129999999999999</v>
      </c>
    </row>
    <row r="321" spans="1:7" x14ac:dyDescent="0.25">
      <c r="A321" s="2">
        <v>44830</v>
      </c>
      <c r="B321" s="1" t="s">
        <v>9</v>
      </c>
      <c r="C321" s="1" t="s">
        <v>337</v>
      </c>
      <c r="D321" s="5">
        <v>89</v>
      </c>
      <c r="E321" s="5">
        <v>-9.7899999999999991</v>
      </c>
      <c r="F321" s="5">
        <v>0</v>
      </c>
      <c r="G321" s="5">
        <f t="shared" si="4"/>
        <v>79.210000000000008</v>
      </c>
    </row>
    <row r="322" spans="1:7" x14ac:dyDescent="0.25">
      <c r="A322" s="2">
        <v>44830</v>
      </c>
      <c r="B322" s="1" t="s">
        <v>9</v>
      </c>
      <c r="C322" s="1" t="s">
        <v>332</v>
      </c>
      <c r="D322" s="5">
        <v>79</v>
      </c>
      <c r="E322" s="5">
        <v>-8.7899999999999991</v>
      </c>
      <c r="F322" s="5">
        <v>0</v>
      </c>
      <c r="G322" s="5">
        <f t="shared" si="4"/>
        <v>70.210000000000008</v>
      </c>
    </row>
    <row r="323" spans="1:7" x14ac:dyDescent="0.25">
      <c r="A323" s="2">
        <v>44830</v>
      </c>
      <c r="B323" s="1" t="s">
        <v>9</v>
      </c>
      <c r="C323" s="1" t="s">
        <v>338</v>
      </c>
      <c r="D323" s="5">
        <v>40</v>
      </c>
      <c r="E323" s="5">
        <v>-4.5599999999999996</v>
      </c>
      <c r="F323" s="5">
        <v>0</v>
      </c>
      <c r="G323" s="5">
        <f t="shared" ref="G323:G386" si="5">D323+E323</f>
        <v>35.44</v>
      </c>
    </row>
    <row r="324" spans="1:7" x14ac:dyDescent="0.25">
      <c r="A324" s="2">
        <v>44831</v>
      </c>
      <c r="B324" s="1" t="s">
        <v>9</v>
      </c>
      <c r="C324" s="1" t="s">
        <v>339</v>
      </c>
      <c r="D324" s="5">
        <v>49</v>
      </c>
      <c r="E324" s="5">
        <v>-5.61</v>
      </c>
      <c r="F324" s="5">
        <v>0</v>
      </c>
      <c r="G324" s="5">
        <f t="shared" si="5"/>
        <v>43.39</v>
      </c>
    </row>
    <row r="325" spans="1:7" x14ac:dyDescent="0.25">
      <c r="A325" s="2">
        <v>44831</v>
      </c>
      <c r="B325" s="1" t="s">
        <v>9</v>
      </c>
      <c r="C325" s="1" t="s">
        <v>340</v>
      </c>
      <c r="D325" s="5">
        <v>60</v>
      </c>
      <c r="E325" s="5">
        <v>-6.64</v>
      </c>
      <c r="F325" s="5">
        <v>0</v>
      </c>
      <c r="G325" s="5">
        <f t="shared" si="5"/>
        <v>53.36</v>
      </c>
    </row>
    <row r="326" spans="1:7" x14ac:dyDescent="0.25">
      <c r="A326" s="2">
        <v>44832</v>
      </c>
      <c r="B326" s="1" t="s">
        <v>9</v>
      </c>
      <c r="C326" s="1" t="s">
        <v>341</v>
      </c>
      <c r="D326" s="5">
        <v>50</v>
      </c>
      <c r="E326" s="5">
        <v>-5.55</v>
      </c>
      <c r="F326" s="5">
        <v>0</v>
      </c>
      <c r="G326" s="5">
        <f t="shared" si="5"/>
        <v>44.45</v>
      </c>
    </row>
    <row r="327" spans="1:7" x14ac:dyDescent="0.25">
      <c r="A327" s="2">
        <v>44834</v>
      </c>
      <c r="B327" s="1" t="s">
        <v>9</v>
      </c>
      <c r="C327" s="1" t="s">
        <v>342</v>
      </c>
      <c r="D327" s="5">
        <v>175</v>
      </c>
      <c r="E327" s="5">
        <v>-19.05</v>
      </c>
      <c r="F327" s="5">
        <v>0</v>
      </c>
      <c r="G327" s="5">
        <f t="shared" si="5"/>
        <v>155.94999999999999</v>
      </c>
    </row>
    <row r="328" spans="1:7" x14ac:dyDescent="0.25">
      <c r="A328" s="2">
        <v>44836</v>
      </c>
      <c r="B328" s="1" t="s">
        <v>9</v>
      </c>
      <c r="C328" s="1" t="s">
        <v>343</v>
      </c>
      <c r="D328" s="5">
        <v>39</v>
      </c>
      <c r="E328" s="5">
        <v>-4.43</v>
      </c>
      <c r="F328" s="5">
        <v>-39</v>
      </c>
      <c r="G328" s="5">
        <f t="shared" si="5"/>
        <v>34.57</v>
      </c>
    </row>
    <row r="329" spans="1:7" x14ac:dyDescent="0.25">
      <c r="A329" s="2">
        <v>44836</v>
      </c>
      <c r="B329" s="1" t="s">
        <v>9</v>
      </c>
      <c r="C329" s="1" t="s">
        <v>344</v>
      </c>
      <c r="D329" s="5">
        <v>22.02</v>
      </c>
      <c r="E329" s="5">
        <v>-2.62</v>
      </c>
      <c r="F329" s="5">
        <v>0</v>
      </c>
      <c r="G329" s="5">
        <f t="shared" si="5"/>
        <v>19.399999999999999</v>
      </c>
    </row>
    <row r="330" spans="1:7" x14ac:dyDescent="0.25">
      <c r="A330" s="2">
        <v>44836</v>
      </c>
      <c r="B330" s="1" t="s">
        <v>9</v>
      </c>
      <c r="C330" s="1" t="s">
        <v>345</v>
      </c>
      <c r="D330" s="5">
        <v>20</v>
      </c>
      <c r="E330" s="5">
        <v>-2.2799999999999998</v>
      </c>
      <c r="F330" s="5">
        <v>0</v>
      </c>
      <c r="G330" s="5">
        <f t="shared" si="5"/>
        <v>17.72</v>
      </c>
    </row>
    <row r="331" spans="1:7" x14ac:dyDescent="0.25">
      <c r="A331" s="2">
        <v>44837</v>
      </c>
      <c r="B331" s="1" t="s">
        <v>9</v>
      </c>
      <c r="C331" s="1" t="s">
        <v>346</v>
      </c>
      <c r="D331" s="5">
        <v>50</v>
      </c>
      <c r="E331" s="5">
        <v>-6.08</v>
      </c>
      <c r="F331" s="5">
        <v>0</v>
      </c>
      <c r="G331" s="5">
        <f t="shared" si="5"/>
        <v>43.92</v>
      </c>
    </row>
    <row r="332" spans="1:7" x14ac:dyDescent="0.25">
      <c r="A332" s="2">
        <v>44837</v>
      </c>
      <c r="B332" s="1" t="s">
        <v>9</v>
      </c>
      <c r="C332" s="1" t="s">
        <v>347</v>
      </c>
      <c r="D332" s="5">
        <v>39</v>
      </c>
      <c r="E332" s="5">
        <v>-4.3899999999999997</v>
      </c>
      <c r="F332" s="5">
        <v>0</v>
      </c>
      <c r="G332" s="5">
        <f t="shared" si="5"/>
        <v>34.61</v>
      </c>
    </row>
    <row r="333" spans="1:7" x14ac:dyDescent="0.25">
      <c r="A333" s="2">
        <v>44837</v>
      </c>
      <c r="B333" s="1" t="s">
        <v>9</v>
      </c>
      <c r="C333" s="1" t="s">
        <v>348</v>
      </c>
      <c r="D333" s="5">
        <v>25</v>
      </c>
      <c r="E333" s="5">
        <v>-2.99</v>
      </c>
      <c r="F333" s="5">
        <v>0</v>
      </c>
      <c r="G333" s="5">
        <f t="shared" si="5"/>
        <v>22.009999999999998</v>
      </c>
    </row>
    <row r="334" spans="1:7" x14ac:dyDescent="0.25">
      <c r="A334" s="2">
        <v>44837</v>
      </c>
      <c r="B334" s="1" t="s">
        <v>9</v>
      </c>
      <c r="C334" s="1" t="s">
        <v>349</v>
      </c>
      <c r="D334" s="5">
        <v>40</v>
      </c>
      <c r="E334" s="5">
        <v>-4.6399999999999997</v>
      </c>
      <c r="F334" s="5">
        <v>0</v>
      </c>
      <c r="G334" s="5">
        <f t="shared" si="5"/>
        <v>35.36</v>
      </c>
    </row>
    <row r="335" spans="1:7" x14ac:dyDescent="0.25">
      <c r="A335" s="2">
        <v>44837</v>
      </c>
      <c r="B335" s="1" t="s">
        <v>9</v>
      </c>
      <c r="C335" s="1" t="s">
        <v>350</v>
      </c>
      <c r="D335" s="5">
        <v>29</v>
      </c>
      <c r="E335" s="5">
        <v>-3.17</v>
      </c>
      <c r="F335" s="5">
        <v>0</v>
      </c>
      <c r="G335" s="5">
        <f t="shared" si="5"/>
        <v>25.83</v>
      </c>
    </row>
    <row r="336" spans="1:7" x14ac:dyDescent="0.25">
      <c r="A336" s="2">
        <v>44839</v>
      </c>
      <c r="B336" s="1" t="s">
        <v>9</v>
      </c>
      <c r="C336" s="1" t="s">
        <v>351</v>
      </c>
      <c r="D336" s="5">
        <v>15</v>
      </c>
      <c r="E336" s="5">
        <v>-1.89</v>
      </c>
      <c r="F336" s="5">
        <v>0</v>
      </c>
      <c r="G336" s="5">
        <f t="shared" si="5"/>
        <v>13.11</v>
      </c>
    </row>
    <row r="337" spans="1:7" x14ac:dyDescent="0.25">
      <c r="A337" s="2">
        <v>44839</v>
      </c>
      <c r="B337" s="1" t="s">
        <v>9</v>
      </c>
      <c r="C337" s="1" t="s">
        <v>352</v>
      </c>
      <c r="D337" s="5">
        <v>20</v>
      </c>
      <c r="E337" s="5">
        <v>-2.4</v>
      </c>
      <c r="F337" s="5">
        <v>0</v>
      </c>
      <c r="G337" s="5">
        <f t="shared" si="5"/>
        <v>17.600000000000001</v>
      </c>
    </row>
    <row r="338" spans="1:7" x14ac:dyDescent="0.25">
      <c r="A338" s="2">
        <v>44839</v>
      </c>
      <c r="B338" s="1" t="s">
        <v>9</v>
      </c>
      <c r="C338" s="1" t="s">
        <v>353</v>
      </c>
      <c r="D338" s="5">
        <v>49</v>
      </c>
      <c r="E338" s="5">
        <v>-5.58</v>
      </c>
      <c r="F338" s="5">
        <v>0</v>
      </c>
      <c r="G338" s="5">
        <f t="shared" si="5"/>
        <v>43.42</v>
      </c>
    </row>
    <row r="339" spans="1:7" x14ac:dyDescent="0.25">
      <c r="A339" s="2">
        <v>44841</v>
      </c>
      <c r="B339" s="1" t="s">
        <v>9</v>
      </c>
      <c r="C339" s="1" t="s">
        <v>354</v>
      </c>
      <c r="D339" s="5">
        <v>20</v>
      </c>
      <c r="E339" s="5">
        <v>-2.4</v>
      </c>
      <c r="F339" s="5">
        <v>0</v>
      </c>
      <c r="G339" s="5">
        <f t="shared" si="5"/>
        <v>17.600000000000001</v>
      </c>
    </row>
    <row r="340" spans="1:7" x14ac:dyDescent="0.25">
      <c r="A340" s="2">
        <v>44841</v>
      </c>
      <c r="B340" s="1" t="s">
        <v>9</v>
      </c>
      <c r="C340" s="1" t="s">
        <v>355</v>
      </c>
      <c r="D340" s="5">
        <v>109</v>
      </c>
      <c r="E340" s="5">
        <v>-11.79</v>
      </c>
      <c r="F340" s="5">
        <v>0</v>
      </c>
      <c r="G340" s="5">
        <f t="shared" si="5"/>
        <v>97.210000000000008</v>
      </c>
    </row>
    <row r="341" spans="1:7" x14ac:dyDescent="0.25">
      <c r="A341" s="2">
        <v>44845</v>
      </c>
      <c r="B341" s="1" t="s">
        <v>9</v>
      </c>
      <c r="C341" s="1" t="s">
        <v>341</v>
      </c>
      <c r="D341" s="5">
        <v>50</v>
      </c>
      <c r="E341" s="5">
        <v>-5.61</v>
      </c>
      <c r="F341" s="5">
        <v>0</v>
      </c>
      <c r="G341" s="5">
        <f t="shared" si="5"/>
        <v>44.39</v>
      </c>
    </row>
    <row r="342" spans="1:7" x14ac:dyDescent="0.25">
      <c r="A342" s="2">
        <v>44845</v>
      </c>
      <c r="B342" s="1" t="s">
        <v>9</v>
      </c>
      <c r="C342" s="1" t="s">
        <v>301</v>
      </c>
      <c r="D342" s="5">
        <v>7.25</v>
      </c>
      <c r="E342" s="5">
        <v>-1.07</v>
      </c>
      <c r="F342" s="5">
        <v>0</v>
      </c>
      <c r="G342" s="5">
        <f t="shared" si="5"/>
        <v>6.18</v>
      </c>
    </row>
    <row r="343" spans="1:7" x14ac:dyDescent="0.25">
      <c r="A343" s="2">
        <v>44852</v>
      </c>
      <c r="B343" s="1" t="s">
        <v>9</v>
      </c>
      <c r="C343" s="1" t="s">
        <v>356</v>
      </c>
      <c r="D343" s="5">
        <v>29</v>
      </c>
      <c r="E343" s="5">
        <v>-3.42</v>
      </c>
      <c r="F343" s="5">
        <v>0</v>
      </c>
      <c r="G343" s="5">
        <f t="shared" si="5"/>
        <v>25.58</v>
      </c>
    </row>
    <row r="344" spans="1:7" x14ac:dyDescent="0.25">
      <c r="A344" s="2">
        <v>44854</v>
      </c>
      <c r="B344" s="1" t="s">
        <v>9</v>
      </c>
      <c r="C344" s="1" t="s">
        <v>357</v>
      </c>
      <c r="D344" s="5">
        <v>65</v>
      </c>
      <c r="E344" s="5">
        <v>-6.74</v>
      </c>
      <c r="F344" s="5">
        <v>0</v>
      </c>
      <c r="G344" s="5">
        <f t="shared" si="5"/>
        <v>58.26</v>
      </c>
    </row>
    <row r="345" spans="1:7" x14ac:dyDescent="0.25">
      <c r="A345" s="2">
        <v>44854</v>
      </c>
      <c r="B345" s="1" t="s">
        <v>9</v>
      </c>
      <c r="C345" s="1" t="s">
        <v>358</v>
      </c>
      <c r="D345" s="5">
        <v>130</v>
      </c>
      <c r="E345" s="5">
        <v>-14.43</v>
      </c>
      <c r="F345" s="5">
        <v>0</v>
      </c>
      <c r="G345" s="5">
        <f t="shared" si="5"/>
        <v>115.57</v>
      </c>
    </row>
    <row r="346" spans="1:7" x14ac:dyDescent="0.25">
      <c r="A346" s="2">
        <v>44855</v>
      </c>
      <c r="B346" s="1" t="s">
        <v>9</v>
      </c>
      <c r="C346" s="1" t="s">
        <v>359</v>
      </c>
      <c r="D346" s="5">
        <v>49</v>
      </c>
      <c r="E346" s="5">
        <v>-5.48</v>
      </c>
      <c r="F346" s="5">
        <v>0</v>
      </c>
      <c r="G346" s="5">
        <f t="shared" si="5"/>
        <v>43.519999999999996</v>
      </c>
    </row>
    <row r="347" spans="1:7" x14ac:dyDescent="0.25">
      <c r="A347" s="2">
        <v>44857</v>
      </c>
      <c r="B347" s="1" t="s">
        <v>9</v>
      </c>
      <c r="C347" s="1" t="s">
        <v>360</v>
      </c>
      <c r="D347" s="5">
        <v>39</v>
      </c>
      <c r="E347" s="5">
        <v>-4.4400000000000004</v>
      </c>
      <c r="F347" s="5">
        <v>0</v>
      </c>
      <c r="G347" s="5">
        <f t="shared" si="5"/>
        <v>34.56</v>
      </c>
    </row>
    <row r="348" spans="1:7" x14ac:dyDescent="0.25">
      <c r="A348" s="2">
        <v>44858</v>
      </c>
      <c r="B348" s="1" t="s">
        <v>9</v>
      </c>
      <c r="C348" s="1" t="s">
        <v>361</v>
      </c>
      <c r="D348" s="5">
        <v>35</v>
      </c>
      <c r="E348" s="5">
        <v>-3.97</v>
      </c>
      <c r="F348" s="5">
        <v>0</v>
      </c>
      <c r="G348" s="5">
        <f t="shared" si="5"/>
        <v>31.03</v>
      </c>
    </row>
    <row r="349" spans="1:7" x14ac:dyDescent="0.25">
      <c r="A349" s="2">
        <v>44858</v>
      </c>
      <c r="B349" s="1" t="s">
        <v>9</v>
      </c>
      <c r="C349" s="1" t="s">
        <v>362</v>
      </c>
      <c r="D349" s="5">
        <v>24</v>
      </c>
      <c r="E349" s="5">
        <v>-2.82</v>
      </c>
      <c r="F349" s="5">
        <v>0</v>
      </c>
      <c r="G349" s="5">
        <f t="shared" si="5"/>
        <v>21.18</v>
      </c>
    </row>
    <row r="350" spans="1:7" x14ac:dyDescent="0.25">
      <c r="A350" s="2">
        <v>44858</v>
      </c>
      <c r="B350" s="1" t="s">
        <v>9</v>
      </c>
      <c r="C350" s="1" t="s">
        <v>363</v>
      </c>
      <c r="D350" s="5">
        <v>29</v>
      </c>
      <c r="E350" s="5">
        <v>-3.39</v>
      </c>
      <c r="F350" s="5">
        <v>0</v>
      </c>
      <c r="G350" s="5">
        <f t="shared" si="5"/>
        <v>25.61</v>
      </c>
    </row>
    <row r="351" spans="1:7" x14ac:dyDescent="0.25">
      <c r="A351" s="2">
        <v>44859</v>
      </c>
      <c r="B351" s="1" t="s">
        <v>9</v>
      </c>
      <c r="C351" s="1" t="s">
        <v>364</v>
      </c>
      <c r="D351" s="5">
        <v>25</v>
      </c>
      <c r="E351" s="5">
        <v>-2.92</v>
      </c>
      <c r="F351" s="5">
        <v>0</v>
      </c>
      <c r="G351" s="5">
        <f t="shared" si="5"/>
        <v>22.08</v>
      </c>
    </row>
    <row r="352" spans="1:7" x14ac:dyDescent="0.25">
      <c r="A352" s="2">
        <v>44864</v>
      </c>
      <c r="B352" s="1" t="s">
        <v>9</v>
      </c>
      <c r="C352" s="1" t="s">
        <v>365</v>
      </c>
      <c r="D352" s="5">
        <v>39</v>
      </c>
      <c r="E352" s="5">
        <v>-4.5199999999999996</v>
      </c>
      <c r="F352" s="5">
        <v>0</v>
      </c>
      <c r="G352" s="5">
        <f t="shared" si="5"/>
        <v>34.480000000000004</v>
      </c>
    </row>
    <row r="353" spans="1:7" x14ac:dyDescent="0.25">
      <c r="A353" s="2">
        <v>44865</v>
      </c>
      <c r="B353" s="1" t="s">
        <v>9</v>
      </c>
      <c r="C353" s="1" t="s">
        <v>366</v>
      </c>
      <c r="D353" s="5">
        <v>19</v>
      </c>
      <c r="E353" s="5">
        <v>-2.31</v>
      </c>
      <c r="F353" s="5">
        <v>0</v>
      </c>
      <c r="G353" s="5">
        <f t="shared" si="5"/>
        <v>16.690000000000001</v>
      </c>
    </row>
    <row r="354" spans="1:7" x14ac:dyDescent="0.25">
      <c r="A354" s="2">
        <v>44865</v>
      </c>
      <c r="B354" s="1" t="s">
        <v>9</v>
      </c>
      <c r="C354" s="1" t="s">
        <v>367</v>
      </c>
      <c r="D354" s="5">
        <v>45</v>
      </c>
      <c r="E354" s="5">
        <v>-5.0199999999999996</v>
      </c>
      <c r="F354" s="5">
        <v>0</v>
      </c>
      <c r="G354" s="5">
        <f t="shared" si="5"/>
        <v>39.980000000000004</v>
      </c>
    </row>
    <row r="355" spans="1:7" x14ac:dyDescent="0.25">
      <c r="A355" s="2">
        <v>44867</v>
      </c>
      <c r="B355" s="1" t="s">
        <v>9</v>
      </c>
      <c r="C355" s="1" t="s">
        <v>368</v>
      </c>
      <c r="D355" s="5">
        <v>89</v>
      </c>
      <c r="E355" s="5">
        <v>-9.11</v>
      </c>
      <c r="F355" s="5">
        <v>0</v>
      </c>
      <c r="G355" s="5">
        <f t="shared" si="5"/>
        <v>79.89</v>
      </c>
    </row>
    <row r="356" spans="1:7" x14ac:dyDescent="0.25">
      <c r="A356" s="2">
        <v>44869</v>
      </c>
      <c r="B356" s="1" t="s">
        <v>9</v>
      </c>
      <c r="C356" s="1" t="s">
        <v>369</v>
      </c>
      <c r="D356" s="5">
        <v>50</v>
      </c>
      <c r="E356" s="5">
        <v>-5.25</v>
      </c>
      <c r="F356" s="5">
        <v>0</v>
      </c>
      <c r="G356" s="5">
        <f t="shared" si="5"/>
        <v>44.75</v>
      </c>
    </row>
    <row r="357" spans="1:7" x14ac:dyDescent="0.25">
      <c r="A357" s="2">
        <v>44871</v>
      </c>
      <c r="B357" s="1" t="s">
        <v>9</v>
      </c>
      <c r="C357" s="1" t="s">
        <v>252</v>
      </c>
      <c r="D357" s="5">
        <v>59</v>
      </c>
      <c r="E357" s="5">
        <v>-6.46</v>
      </c>
      <c r="F357" s="5">
        <v>0</v>
      </c>
      <c r="G357" s="5">
        <f t="shared" si="5"/>
        <v>52.54</v>
      </c>
    </row>
    <row r="358" spans="1:7" x14ac:dyDescent="0.25">
      <c r="A358" s="2">
        <v>44872</v>
      </c>
      <c r="B358" s="1" t="s">
        <v>9</v>
      </c>
      <c r="C358" s="1" t="s">
        <v>370</v>
      </c>
      <c r="D358" s="5">
        <v>19</v>
      </c>
      <c r="E358" s="5">
        <v>-2.29</v>
      </c>
      <c r="F358" s="5">
        <v>0</v>
      </c>
      <c r="G358" s="5">
        <f t="shared" si="5"/>
        <v>16.71</v>
      </c>
    </row>
    <row r="359" spans="1:7" x14ac:dyDescent="0.25">
      <c r="A359" s="2">
        <v>44872</v>
      </c>
      <c r="B359" s="1" t="s">
        <v>9</v>
      </c>
      <c r="C359" s="1" t="s">
        <v>371</v>
      </c>
      <c r="D359" s="5">
        <v>29</v>
      </c>
      <c r="E359" s="5">
        <v>-3.38</v>
      </c>
      <c r="F359" s="5">
        <v>0</v>
      </c>
      <c r="G359" s="5">
        <f t="shared" si="5"/>
        <v>25.62</v>
      </c>
    </row>
    <row r="360" spans="1:7" x14ac:dyDescent="0.25">
      <c r="A360" s="2">
        <v>44872</v>
      </c>
      <c r="B360" s="1" t="s">
        <v>9</v>
      </c>
      <c r="C360" s="1" t="s">
        <v>318</v>
      </c>
      <c r="D360" s="5">
        <v>10</v>
      </c>
      <c r="E360" s="5">
        <v>-1.46</v>
      </c>
      <c r="F360" s="5">
        <v>0</v>
      </c>
      <c r="G360" s="5">
        <f t="shared" si="5"/>
        <v>8.5399999999999991</v>
      </c>
    </row>
    <row r="361" spans="1:7" x14ac:dyDescent="0.25">
      <c r="A361" s="2">
        <v>44872</v>
      </c>
      <c r="B361" s="1" t="s">
        <v>9</v>
      </c>
      <c r="C361" s="1" t="s">
        <v>372</v>
      </c>
      <c r="D361" s="5">
        <v>15</v>
      </c>
      <c r="E361" s="5">
        <v>-1.89</v>
      </c>
      <c r="F361" s="5">
        <v>0</v>
      </c>
      <c r="G361" s="5">
        <f t="shared" si="5"/>
        <v>13.11</v>
      </c>
    </row>
    <row r="362" spans="1:7" x14ac:dyDescent="0.25">
      <c r="A362" s="2">
        <v>44874</v>
      </c>
      <c r="B362" s="1" t="s">
        <v>9</v>
      </c>
      <c r="C362" s="1" t="s">
        <v>373</v>
      </c>
      <c r="D362" s="5">
        <v>29</v>
      </c>
      <c r="E362" s="5">
        <v>-3.34</v>
      </c>
      <c r="F362" s="5">
        <v>0</v>
      </c>
      <c r="G362" s="5">
        <f t="shared" si="5"/>
        <v>25.66</v>
      </c>
    </row>
    <row r="363" spans="1:7" x14ac:dyDescent="0.25">
      <c r="A363" s="2">
        <v>44874</v>
      </c>
      <c r="B363" s="1" t="s">
        <v>9</v>
      </c>
      <c r="C363" s="1" t="s">
        <v>374</v>
      </c>
      <c r="D363" s="5">
        <v>30</v>
      </c>
      <c r="E363" s="5">
        <v>-3.48</v>
      </c>
      <c r="F363" s="5">
        <v>0</v>
      </c>
      <c r="G363" s="5">
        <f t="shared" si="5"/>
        <v>26.52</v>
      </c>
    </row>
    <row r="364" spans="1:7" x14ac:dyDescent="0.25">
      <c r="A364" s="2">
        <v>44874</v>
      </c>
      <c r="B364" s="1" t="s">
        <v>9</v>
      </c>
      <c r="C364" s="1" t="s">
        <v>375</v>
      </c>
      <c r="D364" s="5">
        <v>59</v>
      </c>
      <c r="E364" s="5">
        <v>-6.14</v>
      </c>
      <c r="F364" s="5">
        <v>0</v>
      </c>
      <c r="G364" s="5">
        <f t="shared" si="5"/>
        <v>52.86</v>
      </c>
    </row>
    <row r="365" spans="1:7" x14ac:dyDescent="0.25">
      <c r="A365" s="2">
        <v>44875</v>
      </c>
      <c r="B365" s="1" t="s">
        <v>9</v>
      </c>
      <c r="C365" s="1" t="s">
        <v>15</v>
      </c>
      <c r="D365" s="5">
        <v>199</v>
      </c>
      <c r="E365" s="5">
        <v>-21.18</v>
      </c>
      <c r="F365" s="5">
        <v>-199</v>
      </c>
      <c r="G365" s="5">
        <f t="shared" si="5"/>
        <v>177.82</v>
      </c>
    </row>
    <row r="366" spans="1:7" x14ac:dyDescent="0.25">
      <c r="A366" s="2">
        <v>44878</v>
      </c>
      <c r="B366" s="1" t="s">
        <v>9</v>
      </c>
      <c r="C366" s="1" t="s">
        <v>66</v>
      </c>
      <c r="D366" s="5">
        <v>70</v>
      </c>
      <c r="E366" s="5">
        <v>-7.72</v>
      </c>
      <c r="F366" s="5">
        <v>0</v>
      </c>
      <c r="G366" s="5">
        <f t="shared" si="5"/>
        <v>62.28</v>
      </c>
    </row>
    <row r="367" spans="1:7" x14ac:dyDescent="0.25">
      <c r="A367" s="2">
        <v>44878</v>
      </c>
      <c r="B367" s="1" t="s">
        <v>9</v>
      </c>
      <c r="C367" s="1" t="s">
        <v>55</v>
      </c>
      <c r="D367" s="5">
        <v>15</v>
      </c>
      <c r="E367" s="5">
        <v>-1.89</v>
      </c>
      <c r="F367" s="5">
        <v>0</v>
      </c>
      <c r="G367" s="5">
        <f t="shared" si="5"/>
        <v>13.11</v>
      </c>
    </row>
    <row r="368" spans="1:7" x14ac:dyDescent="0.25">
      <c r="A368" s="2">
        <v>44878</v>
      </c>
      <c r="B368" s="1" t="s">
        <v>9</v>
      </c>
      <c r="C368" s="1" t="s">
        <v>376</v>
      </c>
      <c r="D368" s="5">
        <v>30</v>
      </c>
      <c r="E368" s="5">
        <v>-3.48</v>
      </c>
      <c r="F368" s="5">
        <v>0</v>
      </c>
      <c r="G368" s="5">
        <f t="shared" si="5"/>
        <v>26.52</v>
      </c>
    </row>
    <row r="369" spans="1:7" x14ac:dyDescent="0.25">
      <c r="A369" s="2">
        <v>44878</v>
      </c>
      <c r="B369" s="1" t="s">
        <v>9</v>
      </c>
      <c r="C369" s="1" t="s">
        <v>377</v>
      </c>
      <c r="D369" s="5">
        <v>9</v>
      </c>
      <c r="E369" s="5">
        <v>-1.24</v>
      </c>
      <c r="F369" s="5">
        <v>0</v>
      </c>
      <c r="G369" s="5">
        <f t="shared" si="5"/>
        <v>7.76</v>
      </c>
    </row>
    <row r="370" spans="1:7" x14ac:dyDescent="0.25">
      <c r="A370" s="2">
        <v>44879</v>
      </c>
      <c r="B370" s="1" t="s">
        <v>9</v>
      </c>
      <c r="C370" s="1" t="s">
        <v>378</v>
      </c>
      <c r="D370" s="5">
        <v>39</v>
      </c>
      <c r="E370" s="5">
        <v>-4.3099999999999996</v>
      </c>
      <c r="F370" s="5">
        <v>0</v>
      </c>
      <c r="G370" s="5">
        <f t="shared" si="5"/>
        <v>34.69</v>
      </c>
    </row>
    <row r="371" spans="1:7" x14ac:dyDescent="0.25">
      <c r="A371" s="2">
        <v>44879</v>
      </c>
      <c r="B371" s="1" t="s">
        <v>9</v>
      </c>
      <c r="C371" s="1" t="s">
        <v>379</v>
      </c>
      <c r="D371" s="5">
        <v>14</v>
      </c>
      <c r="E371" s="5">
        <v>-1.78</v>
      </c>
      <c r="F371" s="5">
        <v>0</v>
      </c>
      <c r="G371" s="5">
        <f t="shared" si="5"/>
        <v>12.22</v>
      </c>
    </row>
    <row r="372" spans="1:7" x14ac:dyDescent="0.25">
      <c r="A372" s="2">
        <v>44879</v>
      </c>
      <c r="B372" s="1" t="s">
        <v>9</v>
      </c>
      <c r="C372" s="1" t="s">
        <v>380</v>
      </c>
      <c r="D372" s="5">
        <v>350</v>
      </c>
      <c r="E372" s="5">
        <v>-40.729999999999997</v>
      </c>
      <c r="F372" s="5">
        <v>0</v>
      </c>
      <c r="G372" s="5">
        <f t="shared" si="5"/>
        <v>309.27</v>
      </c>
    </row>
    <row r="373" spans="1:7" x14ac:dyDescent="0.25">
      <c r="A373" s="2">
        <v>44879</v>
      </c>
      <c r="B373" s="1" t="s">
        <v>9</v>
      </c>
      <c r="C373" s="1" t="s">
        <v>381</v>
      </c>
      <c r="D373" s="5">
        <v>30</v>
      </c>
      <c r="E373" s="5">
        <v>-3.51</v>
      </c>
      <c r="F373" s="5">
        <v>0</v>
      </c>
      <c r="G373" s="5">
        <f t="shared" si="5"/>
        <v>26.490000000000002</v>
      </c>
    </row>
    <row r="374" spans="1:7" x14ac:dyDescent="0.25">
      <c r="A374" s="2">
        <v>44879</v>
      </c>
      <c r="B374" s="1" t="s">
        <v>9</v>
      </c>
      <c r="C374" s="1" t="s">
        <v>382</v>
      </c>
      <c r="D374" s="5">
        <v>19</v>
      </c>
      <c r="E374" s="5">
        <v>-2.33</v>
      </c>
      <c r="F374" s="5">
        <v>0</v>
      </c>
      <c r="G374" s="5">
        <f t="shared" si="5"/>
        <v>16.670000000000002</v>
      </c>
    </row>
    <row r="375" spans="1:7" x14ac:dyDescent="0.25">
      <c r="A375" s="2">
        <v>44879</v>
      </c>
      <c r="B375" s="1" t="s">
        <v>9</v>
      </c>
      <c r="C375" s="1" t="s">
        <v>383</v>
      </c>
      <c r="D375" s="5">
        <v>15</v>
      </c>
      <c r="E375" s="5">
        <v>-1.9</v>
      </c>
      <c r="F375" s="5">
        <v>0</v>
      </c>
      <c r="G375" s="5">
        <f t="shared" si="5"/>
        <v>13.1</v>
      </c>
    </row>
    <row r="376" spans="1:7" x14ac:dyDescent="0.25">
      <c r="A376" s="2">
        <v>44879</v>
      </c>
      <c r="B376" s="1" t="s">
        <v>9</v>
      </c>
      <c r="C376" s="1" t="s">
        <v>384</v>
      </c>
      <c r="D376" s="5">
        <v>34</v>
      </c>
      <c r="E376" s="5">
        <v>-3.91</v>
      </c>
      <c r="F376" s="5">
        <v>0</v>
      </c>
      <c r="G376" s="5">
        <f t="shared" si="5"/>
        <v>30.09</v>
      </c>
    </row>
    <row r="377" spans="1:7" x14ac:dyDescent="0.25">
      <c r="A377" s="2">
        <v>44879</v>
      </c>
      <c r="B377" s="1" t="s">
        <v>9</v>
      </c>
      <c r="C377" s="1" t="s">
        <v>385</v>
      </c>
      <c r="D377" s="5">
        <v>15</v>
      </c>
      <c r="E377" s="5">
        <v>-1.89</v>
      </c>
      <c r="F377" s="5">
        <v>0</v>
      </c>
      <c r="G377" s="5">
        <f t="shared" si="5"/>
        <v>13.11</v>
      </c>
    </row>
    <row r="378" spans="1:7" x14ac:dyDescent="0.25">
      <c r="A378" s="2">
        <v>44879</v>
      </c>
      <c r="B378" s="1" t="s">
        <v>9</v>
      </c>
      <c r="C378" s="1" t="s">
        <v>197</v>
      </c>
      <c r="D378" s="5">
        <v>19</v>
      </c>
      <c r="E378" s="5">
        <v>-2.2799999999999998</v>
      </c>
      <c r="F378" s="5">
        <v>0</v>
      </c>
      <c r="G378" s="5">
        <f t="shared" si="5"/>
        <v>16.72</v>
      </c>
    </row>
    <row r="379" spans="1:7" x14ac:dyDescent="0.25">
      <c r="A379" s="2">
        <v>44879</v>
      </c>
      <c r="B379" s="1" t="s">
        <v>9</v>
      </c>
      <c r="C379" s="1" t="s">
        <v>386</v>
      </c>
      <c r="D379" s="5">
        <v>49</v>
      </c>
      <c r="E379" s="5">
        <v>-5.52</v>
      </c>
      <c r="F379" s="5">
        <v>0</v>
      </c>
      <c r="G379" s="5">
        <f t="shared" si="5"/>
        <v>43.480000000000004</v>
      </c>
    </row>
    <row r="380" spans="1:7" x14ac:dyDescent="0.25">
      <c r="A380" s="2">
        <v>44880</v>
      </c>
      <c r="B380" s="1" t="s">
        <v>9</v>
      </c>
      <c r="C380" s="1" t="s">
        <v>387</v>
      </c>
      <c r="D380" s="5">
        <v>39</v>
      </c>
      <c r="E380" s="5">
        <v>-4.6100000000000003</v>
      </c>
      <c r="F380" s="5">
        <v>0</v>
      </c>
      <c r="G380" s="5">
        <f t="shared" si="5"/>
        <v>34.39</v>
      </c>
    </row>
    <row r="381" spans="1:7" x14ac:dyDescent="0.25">
      <c r="A381" s="2">
        <v>44880</v>
      </c>
      <c r="B381" s="1" t="s">
        <v>9</v>
      </c>
      <c r="C381" s="1" t="s">
        <v>84</v>
      </c>
      <c r="D381" s="5">
        <v>59</v>
      </c>
      <c r="E381" s="5">
        <v>-6.61</v>
      </c>
      <c r="F381" s="5">
        <v>0</v>
      </c>
      <c r="G381" s="5">
        <f t="shared" si="5"/>
        <v>52.39</v>
      </c>
    </row>
    <row r="382" spans="1:7" x14ac:dyDescent="0.25">
      <c r="A382" s="2">
        <v>44880</v>
      </c>
      <c r="B382" s="1" t="s">
        <v>9</v>
      </c>
      <c r="C382" s="1" t="s">
        <v>388</v>
      </c>
      <c r="D382" s="5">
        <v>100</v>
      </c>
      <c r="E382" s="5">
        <v>-10.92</v>
      </c>
      <c r="F382" s="5">
        <v>0</v>
      </c>
      <c r="G382" s="5">
        <f t="shared" si="5"/>
        <v>89.08</v>
      </c>
    </row>
    <row r="383" spans="1:7" x14ac:dyDescent="0.25">
      <c r="A383" s="2">
        <v>44881</v>
      </c>
      <c r="B383" s="1" t="s">
        <v>9</v>
      </c>
      <c r="C383" s="1" t="s">
        <v>389</v>
      </c>
      <c r="D383" s="5">
        <v>89</v>
      </c>
      <c r="E383" s="5">
        <v>-10.119999999999999</v>
      </c>
      <c r="F383" s="5">
        <v>0</v>
      </c>
      <c r="G383" s="5">
        <f t="shared" si="5"/>
        <v>78.88</v>
      </c>
    </row>
    <row r="384" spans="1:7" x14ac:dyDescent="0.25">
      <c r="A384" s="2">
        <v>44882</v>
      </c>
      <c r="B384" s="1" t="s">
        <v>9</v>
      </c>
      <c r="C384" s="1" t="s">
        <v>390</v>
      </c>
      <c r="D384" s="5">
        <v>10</v>
      </c>
      <c r="E384" s="5">
        <v>-1.18</v>
      </c>
      <c r="F384" s="5">
        <v>0</v>
      </c>
      <c r="G384" s="5">
        <f t="shared" si="5"/>
        <v>8.82</v>
      </c>
    </row>
    <row r="385" spans="1:7" x14ac:dyDescent="0.25">
      <c r="A385" s="2">
        <v>44882</v>
      </c>
      <c r="B385" s="1" t="s">
        <v>9</v>
      </c>
      <c r="C385" s="1" t="s">
        <v>391</v>
      </c>
      <c r="D385" s="5">
        <v>15</v>
      </c>
      <c r="E385" s="5">
        <v>-1.87</v>
      </c>
      <c r="F385" s="5">
        <v>0</v>
      </c>
      <c r="G385" s="5">
        <f t="shared" si="5"/>
        <v>13.129999999999999</v>
      </c>
    </row>
    <row r="386" spans="1:7" x14ac:dyDescent="0.25">
      <c r="A386" s="2">
        <v>44882</v>
      </c>
      <c r="B386" s="1" t="s">
        <v>9</v>
      </c>
      <c r="C386" s="1" t="s">
        <v>392</v>
      </c>
      <c r="D386" s="5">
        <v>25</v>
      </c>
      <c r="E386" s="5">
        <v>-3.39</v>
      </c>
      <c r="F386" s="5">
        <v>0</v>
      </c>
      <c r="G386" s="5">
        <f t="shared" si="5"/>
        <v>21.61</v>
      </c>
    </row>
    <row r="387" spans="1:7" x14ac:dyDescent="0.25">
      <c r="A387" s="2">
        <v>44882</v>
      </c>
      <c r="B387" s="1" t="s">
        <v>9</v>
      </c>
      <c r="C387" s="1" t="s">
        <v>70</v>
      </c>
      <c r="D387" s="5">
        <v>39</v>
      </c>
      <c r="E387" s="5">
        <v>-4.4000000000000004</v>
      </c>
      <c r="F387" s="5">
        <v>0</v>
      </c>
      <c r="G387" s="5">
        <f t="shared" ref="G387:G421" si="6">D387+E387</f>
        <v>34.6</v>
      </c>
    </row>
    <row r="388" spans="1:7" x14ac:dyDescent="0.25">
      <c r="A388" s="2">
        <v>44883</v>
      </c>
      <c r="B388" s="1" t="s">
        <v>9</v>
      </c>
      <c r="C388" s="1" t="s">
        <v>393</v>
      </c>
      <c r="D388" s="5">
        <v>39</v>
      </c>
      <c r="E388" s="5">
        <v>-4.43</v>
      </c>
      <c r="F388" s="5">
        <v>-39</v>
      </c>
      <c r="G388" s="5">
        <f t="shared" si="6"/>
        <v>34.57</v>
      </c>
    </row>
    <row r="389" spans="1:7" x14ac:dyDescent="0.25">
      <c r="A389" s="2">
        <v>44885</v>
      </c>
      <c r="B389" s="1" t="s">
        <v>9</v>
      </c>
      <c r="C389" s="1" t="s">
        <v>394</v>
      </c>
      <c r="D389" s="5">
        <v>39</v>
      </c>
      <c r="E389" s="5">
        <v>-4.57</v>
      </c>
      <c r="F389" s="5">
        <v>0</v>
      </c>
      <c r="G389" s="5">
        <f t="shared" si="6"/>
        <v>34.43</v>
      </c>
    </row>
    <row r="390" spans="1:7" x14ac:dyDescent="0.25">
      <c r="A390" s="2">
        <v>44885</v>
      </c>
      <c r="B390" s="1" t="s">
        <v>9</v>
      </c>
      <c r="C390" s="1" t="s">
        <v>16</v>
      </c>
      <c r="D390" s="5">
        <v>29</v>
      </c>
      <c r="E390" s="5">
        <v>-3.88</v>
      </c>
      <c r="F390" s="5">
        <v>0</v>
      </c>
      <c r="G390" s="5">
        <f t="shared" si="6"/>
        <v>25.12</v>
      </c>
    </row>
    <row r="391" spans="1:7" x14ac:dyDescent="0.25">
      <c r="A391" s="2">
        <v>44885</v>
      </c>
      <c r="B391" s="1" t="s">
        <v>9</v>
      </c>
      <c r="C391" s="1" t="s">
        <v>395</v>
      </c>
      <c r="D391" s="5">
        <v>19.989999999999998</v>
      </c>
      <c r="E391" s="5">
        <v>-2.38</v>
      </c>
      <c r="F391" s="5">
        <v>-19</v>
      </c>
      <c r="G391" s="5">
        <f t="shared" si="6"/>
        <v>17.61</v>
      </c>
    </row>
    <row r="392" spans="1:7" x14ac:dyDescent="0.25">
      <c r="A392" s="2">
        <v>44885</v>
      </c>
      <c r="B392" s="1" t="s">
        <v>9</v>
      </c>
      <c r="C392" s="1" t="s">
        <v>396</v>
      </c>
      <c r="D392" s="5">
        <v>60</v>
      </c>
      <c r="E392" s="5">
        <v>-6.61</v>
      </c>
      <c r="F392" s="5">
        <v>0</v>
      </c>
      <c r="G392" s="5">
        <f t="shared" si="6"/>
        <v>53.39</v>
      </c>
    </row>
    <row r="393" spans="1:7" x14ac:dyDescent="0.25">
      <c r="A393" s="2">
        <v>44886</v>
      </c>
      <c r="B393" s="1" t="s">
        <v>9</v>
      </c>
      <c r="C393" s="1" t="s">
        <v>397</v>
      </c>
      <c r="D393" s="5">
        <v>29</v>
      </c>
      <c r="E393" s="5">
        <v>-3.37</v>
      </c>
      <c r="F393" s="5">
        <v>0</v>
      </c>
      <c r="G393" s="5">
        <f t="shared" si="6"/>
        <v>25.63</v>
      </c>
    </row>
    <row r="394" spans="1:7" x14ac:dyDescent="0.25">
      <c r="A394" s="2">
        <v>44886</v>
      </c>
      <c r="B394" s="1" t="s">
        <v>9</v>
      </c>
      <c r="C394" s="1" t="s">
        <v>398</v>
      </c>
      <c r="D394" s="5">
        <v>89</v>
      </c>
      <c r="E394" s="5">
        <v>-9.48</v>
      </c>
      <c r="F394" s="5">
        <v>0</v>
      </c>
      <c r="G394" s="5">
        <f t="shared" si="6"/>
        <v>79.52</v>
      </c>
    </row>
    <row r="395" spans="1:7" x14ac:dyDescent="0.25">
      <c r="A395" s="2">
        <v>44887</v>
      </c>
      <c r="B395" s="1" t="s">
        <v>9</v>
      </c>
      <c r="C395" s="1" t="s">
        <v>399</v>
      </c>
      <c r="D395" s="5">
        <v>29.25</v>
      </c>
      <c r="E395" s="5">
        <v>-3.4</v>
      </c>
      <c r="F395" s="5">
        <v>0</v>
      </c>
      <c r="G395" s="5">
        <f t="shared" si="6"/>
        <v>25.85</v>
      </c>
    </row>
    <row r="396" spans="1:7" x14ac:dyDescent="0.25">
      <c r="A396" s="2">
        <v>44888</v>
      </c>
      <c r="B396" s="1" t="s">
        <v>9</v>
      </c>
      <c r="C396" s="1" t="s">
        <v>11</v>
      </c>
      <c r="D396" s="5">
        <v>99</v>
      </c>
      <c r="E396" s="5">
        <v>-10.95</v>
      </c>
      <c r="F396" s="5">
        <v>0</v>
      </c>
      <c r="G396" s="5">
        <f t="shared" si="6"/>
        <v>88.05</v>
      </c>
    </row>
    <row r="397" spans="1:7" x14ac:dyDescent="0.25">
      <c r="A397" s="2">
        <v>44889</v>
      </c>
      <c r="B397" s="1" t="s">
        <v>9</v>
      </c>
      <c r="C397" s="1" t="s">
        <v>11</v>
      </c>
      <c r="D397" s="5">
        <v>79</v>
      </c>
      <c r="E397" s="5">
        <v>-8.67</v>
      </c>
      <c r="F397" s="5">
        <v>0</v>
      </c>
      <c r="G397" s="5">
        <f t="shared" si="6"/>
        <v>70.33</v>
      </c>
    </row>
    <row r="398" spans="1:7" x14ac:dyDescent="0.25">
      <c r="A398" s="2">
        <v>44889</v>
      </c>
      <c r="B398" s="1" t="s">
        <v>9</v>
      </c>
      <c r="C398" s="1" t="s">
        <v>400</v>
      </c>
      <c r="D398" s="5">
        <v>17</v>
      </c>
      <c r="E398" s="5">
        <v>-2.1</v>
      </c>
      <c r="F398" s="5">
        <v>0</v>
      </c>
      <c r="G398" s="5">
        <f t="shared" si="6"/>
        <v>14.9</v>
      </c>
    </row>
    <row r="399" spans="1:7" x14ac:dyDescent="0.25">
      <c r="A399" s="2">
        <v>44889</v>
      </c>
      <c r="B399" s="1" t="s">
        <v>9</v>
      </c>
      <c r="C399" s="1" t="s">
        <v>401</v>
      </c>
      <c r="D399" s="5">
        <v>19</v>
      </c>
      <c r="E399" s="5">
        <v>-2.3199999999999998</v>
      </c>
      <c r="F399" s="5">
        <v>0</v>
      </c>
      <c r="G399" s="5">
        <f t="shared" si="6"/>
        <v>16.68</v>
      </c>
    </row>
    <row r="400" spans="1:7" x14ac:dyDescent="0.25">
      <c r="A400" s="2">
        <v>44890</v>
      </c>
      <c r="B400" s="1" t="s">
        <v>9</v>
      </c>
      <c r="C400" s="1" t="s">
        <v>402</v>
      </c>
      <c r="D400" s="5">
        <v>12</v>
      </c>
      <c r="E400" s="5">
        <v>-1.56</v>
      </c>
      <c r="F400" s="5">
        <v>0</v>
      </c>
      <c r="G400" s="5">
        <f t="shared" si="6"/>
        <v>10.44</v>
      </c>
    </row>
    <row r="401" spans="1:7" x14ac:dyDescent="0.25">
      <c r="A401" s="2">
        <v>44890</v>
      </c>
      <c r="B401" s="1" t="s">
        <v>9</v>
      </c>
      <c r="C401" s="1" t="s">
        <v>403</v>
      </c>
      <c r="D401" s="5">
        <v>59</v>
      </c>
      <c r="E401" s="5">
        <v>-6.65</v>
      </c>
      <c r="F401" s="5">
        <v>0</v>
      </c>
      <c r="G401" s="5">
        <f t="shared" si="6"/>
        <v>52.35</v>
      </c>
    </row>
    <row r="402" spans="1:7" x14ac:dyDescent="0.25">
      <c r="A402" s="2">
        <v>44890</v>
      </c>
      <c r="B402" s="1" t="s">
        <v>9</v>
      </c>
      <c r="C402" s="1" t="s">
        <v>404</v>
      </c>
      <c r="D402" s="5">
        <v>25</v>
      </c>
      <c r="E402" s="5">
        <v>-2.97</v>
      </c>
      <c r="F402" s="5">
        <v>0</v>
      </c>
      <c r="G402" s="5">
        <f t="shared" si="6"/>
        <v>22.03</v>
      </c>
    </row>
    <row r="403" spans="1:7" x14ac:dyDescent="0.25">
      <c r="A403" s="2">
        <v>44893</v>
      </c>
      <c r="B403" s="1" t="s">
        <v>9</v>
      </c>
      <c r="C403" s="1" t="s">
        <v>405</v>
      </c>
      <c r="D403" s="5">
        <v>65</v>
      </c>
      <c r="E403" s="5">
        <v>-7.19</v>
      </c>
      <c r="F403" s="5">
        <v>0</v>
      </c>
      <c r="G403" s="5">
        <f t="shared" si="6"/>
        <v>57.81</v>
      </c>
    </row>
    <row r="404" spans="1:7" x14ac:dyDescent="0.25">
      <c r="A404" s="2">
        <v>44893</v>
      </c>
      <c r="B404" s="1" t="s">
        <v>9</v>
      </c>
      <c r="C404" s="1" t="s">
        <v>406</v>
      </c>
      <c r="D404" s="5">
        <v>19</v>
      </c>
      <c r="E404" s="5">
        <v>-2.65</v>
      </c>
      <c r="F404" s="5">
        <v>0</v>
      </c>
      <c r="G404" s="5">
        <f t="shared" si="6"/>
        <v>16.350000000000001</v>
      </c>
    </row>
    <row r="405" spans="1:7" x14ac:dyDescent="0.25">
      <c r="A405" s="2">
        <v>44893</v>
      </c>
      <c r="B405" s="1" t="s">
        <v>9</v>
      </c>
      <c r="C405" s="1" t="s">
        <v>407</v>
      </c>
      <c r="D405" s="5">
        <v>39</v>
      </c>
      <c r="E405" s="5">
        <v>-4.42</v>
      </c>
      <c r="F405" s="5">
        <v>0</v>
      </c>
      <c r="G405" s="5">
        <f t="shared" si="6"/>
        <v>34.58</v>
      </c>
    </row>
    <row r="406" spans="1:7" x14ac:dyDescent="0.25">
      <c r="A406" s="2">
        <v>44893</v>
      </c>
      <c r="B406" s="1" t="s">
        <v>9</v>
      </c>
      <c r="C406" s="1" t="s">
        <v>408</v>
      </c>
      <c r="D406" s="5">
        <v>120</v>
      </c>
      <c r="E406" s="5">
        <v>-12.18</v>
      </c>
      <c r="F406" s="5">
        <v>0</v>
      </c>
      <c r="G406" s="5">
        <f t="shared" si="6"/>
        <v>107.82</v>
      </c>
    </row>
    <row r="407" spans="1:7" x14ac:dyDescent="0.25">
      <c r="A407" s="2">
        <v>44894</v>
      </c>
      <c r="B407" s="1" t="s">
        <v>9</v>
      </c>
      <c r="C407" s="1" t="s">
        <v>409</v>
      </c>
      <c r="D407" s="5">
        <v>29</v>
      </c>
      <c r="E407" s="5">
        <v>-3.37</v>
      </c>
      <c r="F407" s="5">
        <v>0</v>
      </c>
      <c r="G407" s="5">
        <f t="shared" si="6"/>
        <v>25.63</v>
      </c>
    </row>
    <row r="408" spans="1:7" x14ac:dyDescent="0.25">
      <c r="A408" s="2">
        <v>44896</v>
      </c>
      <c r="B408" s="1" t="s">
        <v>9</v>
      </c>
      <c r="C408" s="1" t="s">
        <v>410</v>
      </c>
      <c r="D408" s="5">
        <v>325</v>
      </c>
      <c r="E408" s="5">
        <v>-35.049999999999997</v>
      </c>
      <c r="F408" s="5">
        <v>0</v>
      </c>
      <c r="G408" s="5">
        <f t="shared" si="6"/>
        <v>289.95</v>
      </c>
    </row>
    <row r="409" spans="1:7" x14ac:dyDescent="0.25">
      <c r="A409" s="2">
        <v>44899</v>
      </c>
      <c r="B409" s="1" t="s">
        <v>9</v>
      </c>
      <c r="C409" s="1" t="s">
        <v>411</v>
      </c>
      <c r="D409" s="5">
        <v>29</v>
      </c>
      <c r="E409" s="5">
        <v>-3.47</v>
      </c>
      <c r="F409" s="5">
        <v>0</v>
      </c>
      <c r="G409" s="5">
        <f t="shared" si="6"/>
        <v>25.53</v>
      </c>
    </row>
    <row r="410" spans="1:7" x14ac:dyDescent="0.25">
      <c r="A410" s="2">
        <v>44899</v>
      </c>
      <c r="B410" s="1" t="s">
        <v>9</v>
      </c>
      <c r="C410" s="1" t="s">
        <v>412</v>
      </c>
      <c r="D410" s="5">
        <v>13</v>
      </c>
      <c r="E410" s="5">
        <v>-1.68</v>
      </c>
      <c r="F410" s="5">
        <v>0</v>
      </c>
      <c r="G410" s="5">
        <f t="shared" si="6"/>
        <v>11.32</v>
      </c>
    </row>
    <row r="411" spans="1:7" x14ac:dyDescent="0.25">
      <c r="A411" s="2">
        <v>44899</v>
      </c>
      <c r="B411" s="1" t="s">
        <v>9</v>
      </c>
      <c r="C411" s="1" t="s">
        <v>14</v>
      </c>
      <c r="D411" s="5">
        <v>45</v>
      </c>
      <c r="E411" s="5">
        <v>-5.03</v>
      </c>
      <c r="F411" s="5">
        <v>0</v>
      </c>
      <c r="G411" s="5">
        <f t="shared" si="6"/>
        <v>39.97</v>
      </c>
    </row>
    <row r="412" spans="1:7" x14ac:dyDescent="0.25">
      <c r="A412" s="2">
        <v>44902</v>
      </c>
      <c r="B412" s="1" t="s">
        <v>9</v>
      </c>
      <c r="C412" s="1" t="s">
        <v>413</v>
      </c>
      <c r="D412" s="5">
        <v>21</v>
      </c>
      <c r="E412" s="5">
        <v>-2.52</v>
      </c>
      <c r="F412" s="5">
        <v>0</v>
      </c>
      <c r="G412" s="5">
        <f t="shared" si="6"/>
        <v>18.48</v>
      </c>
    </row>
    <row r="413" spans="1:7" x14ac:dyDescent="0.25">
      <c r="A413" s="2">
        <v>44909</v>
      </c>
      <c r="B413" s="1" t="s">
        <v>9</v>
      </c>
      <c r="C413" s="1" t="s">
        <v>414</v>
      </c>
      <c r="D413" s="5">
        <v>19</v>
      </c>
      <c r="E413" s="5">
        <v>-2.1800000000000002</v>
      </c>
      <c r="F413" s="5">
        <v>0</v>
      </c>
      <c r="G413" s="5">
        <f t="shared" si="6"/>
        <v>16.82</v>
      </c>
    </row>
    <row r="414" spans="1:7" x14ac:dyDescent="0.25">
      <c r="A414" s="2">
        <v>44909</v>
      </c>
      <c r="B414" s="1" t="s">
        <v>9</v>
      </c>
      <c r="C414" s="1" t="s">
        <v>415</v>
      </c>
      <c r="D414" s="5">
        <v>39</v>
      </c>
      <c r="E414" s="5">
        <v>-4.4400000000000004</v>
      </c>
      <c r="F414" s="5">
        <v>0</v>
      </c>
      <c r="G414" s="5">
        <f t="shared" si="6"/>
        <v>34.56</v>
      </c>
    </row>
    <row r="415" spans="1:7" x14ac:dyDescent="0.25">
      <c r="A415" s="2">
        <v>44910</v>
      </c>
      <c r="B415" s="1" t="s">
        <v>9</v>
      </c>
      <c r="C415" s="1" t="s">
        <v>416</v>
      </c>
      <c r="D415" s="5">
        <v>40</v>
      </c>
      <c r="E415" s="5">
        <v>-4.54</v>
      </c>
      <c r="F415" s="5">
        <v>0</v>
      </c>
      <c r="G415" s="5">
        <f t="shared" si="6"/>
        <v>35.46</v>
      </c>
    </row>
    <row r="416" spans="1:7" x14ac:dyDescent="0.25">
      <c r="A416" s="2">
        <v>44910</v>
      </c>
      <c r="B416" s="1" t="s">
        <v>9</v>
      </c>
      <c r="C416" s="1" t="s">
        <v>417</v>
      </c>
      <c r="D416" s="5">
        <v>20</v>
      </c>
      <c r="E416" s="5">
        <v>-2.39</v>
      </c>
      <c r="F416" s="5">
        <v>0</v>
      </c>
      <c r="G416" s="5">
        <f t="shared" si="6"/>
        <v>17.61</v>
      </c>
    </row>
    <row r="417" spans="1:7" x14ac:dyDescent="0.25">
      <c r="A417" s="2">
        <v>44910</v>
      </c>
      <c r="B417" s="1" t="s">
        <v>9</v>
      </c>
      <c r="C417" s="1" t="s">
        <v>418</v>
      </c>
      <c r="D417" s="5">
        <v>45</v>
      </c>
      <c r="E417" s="5">
        <v>-5.08</v>
      </c>
      <c r="F417" s="5">
        <v>0</v>
      </c>
      <c r="G417" s="5">
        <f t="shared" si="6"/>
        <v>39.92</v>
      </c>
    </row>
    <row r="418" spans="1:7" x14ac:dyDescent="0.25">
      <c r="A418" s="2">
        <v>44911</v>
      </c>
      <c r="B418" s="1" t="s">
        <v>9</v>
      </c>
      <c r="C418" s="1" t="s">
        <v>419</v>
      </c>
      <c r="D418" s="5">
        <v>15</v>
      </c>
      <c r="E418" s="5">
        <v>-1.87</v>
      </c>
      <c r="F418" s="5">
        <v>0</v>
      </c>
      <c r="G418" s="5">
        <f t="shared" si="6"/>
        <v>13.129999999999999</v>
      </c>
    </row>
    <row r="419" spans="1:7" x14ac:dyDescent="0.25">
      <c r="A419" s="2">
        <v>44914</v>
      </c>
      <c r="B419" s="1" t="s">
        <v>9</v>
      </c>
      <c r="C419" s="1" t="s">
        <v>420</v>
      </c>
      <c r="D419" s="5">
        <v>10</v>
      </c>
      <c r="E419" s="5">
        <v>-1.36</v>
      </c>
      <c r="F419" s="5">
        <v>0</v>
      </c>
      <c r="G419" s="5">
        <f t="shared" si="6"/>
        <v>8.64</v>
      </c>
    </row>
    <row r="420" spans="1:7" x14ac:dyDescent="0.25">
      <c r="A420" s="2">
        <v>44918</v>
      </c>
      <c r="B420" s="1" t="s">
        <v>9</v>
      </c>
      <c r="C420" s="1" t="s">
        <v>421</v>
      </c>
      <c r="D420" s="5">
        <v>49</v>
      </c>
      <c r="E420" s="5">
        <v>-5.49</v>
      </c>
      <c r="F420" s="5">
        <v>0</v>
      </c>
      <c r="G420" s="5">
        <f t="shared" si="6"/>
        <v>43.51</v>
      </c>
    </row>
    <row r="421" spans="1:7" x14ac:dyDescent="0.25">
      <c r="A421" s="2">
        <v>44918</v>
      </c>
      <c r="B421" s="1" t="s">
        <v>9</v>
      </c>
      <c r="C421" s="1" t="s">
        <v>422</v>
      </c>
      <c r="D421" s="5">
        <v>15</v>
      </c>
      <c r="E421" s="5">
        <v>-1.86</v>
      </c>
      <c r="F421" s="5">
        <v>0</v>
      </c>
      <c r="G421" s="5">
        <f t="shared" si="6"/>
        <v>13.14</v>
      </c>
    </row>
    <row r="422" spans="1:7" x14ac:dyDescent="0.25">
      <c r="A422" s="2"/>
      <c r="C422" s="1"/>
    </row>
    <row r="423" spans="1:7" x14ac:dyDescent="0.25">
      <c r="A423" s="2"/>
      <c r="C423" s="3" t="s">
        <v>17</v>
      </c>
      <c r="D423" s="5">
        <f>SUM(D2:D421)</f>
        <v>19846.8</v>
      </c>
      <c r="E423" s="5">
        <f>SUM(E2:E421)</f>
        <v>-2248.8500000000004</v>
      </c>
      <c r="F423" s="5">
        <f>SUM(F2:F421)</f>
        <v>-747.5</v>
      </c>
      <c r="G423" s="5">
        <f>SUM(G2:G421)</f>
        <v>17597.949999999997</v>
      </c>
    </row>
    <row r="424" spans="1:7" x14ac:dyDescent="0.25">
      <c r="A424" s="2"/>
      <c r="C424" s="1"/>
    </row>
    <row r="425" spans="1:7" x14ac:dyDescent="0.25">
      <c r="A425" s="2"/>
      <c r="C425" s="1"/>
    </row>
    <row r="426" spans="1:7" x14ac:dyDescent="0.25">
      <c r="A426" s="2"/>
      <c r="C426" s="1"/>
    </row>
    <row r="427" spans="1:7" x14ac:dyDescent="0.25">
      <c r="A427" s="2"/>
      <c r="C427" s="1"/>
    </row>
    <row r="428" spans="1:7" x14ac:dyDescent="0.25">
      <c r="A428" s="2"/>
      <c r="C428" s="1"/>
    </row>
    <row r="429" spans="1:7" x14ac:dyDescent="0.25">
      <c r="A429" s="2"/>
      <c r="C429" s="1"/>
    </row>
    <row r="430" spans="1:7" x14ac:dyDescent="0.25">
      <c r="A430" s="2"/>
      <c r="C430" s="1"/>
    </row>
    <row r="431" spans="1:7" x14ac:dyDescent="0.25">
      <c r="A431" s="2"/>
      <c r="C431" s="1"/>
    </row>
    <row r="432" spans="1:7" x14ac:dyDescent="0.25">
      <c r="A432" s="2"/>
      <c r="C432" s="1"/>
    </row>
    <row r="433" spans="1:3" x14ac:dyDescent="0.25">
      <c r="A433" s="2"/>
      <c r="C433" s="1"/>
    </row>
    <row r="434" spans="1:3" x14ac:dyDescent="0.25">
      <c r="A434" s="2"/>
      <c r="C434" s="1"/>
    </row>
    <row r="435" spans="1:3" x14ac:dyDescent="0.25">
      <c r="A435" s="2"/>
      <c r="C435" s="1"/>
    </row>
    <row r="436" spans="1:3" x14ac:dyDescent="0.25">
      <c r="A436" s="2"/>
      <c r="C436" s="1"/>
    </row>
    <row r="437" spans="1:3" x14ac:dyDescent="0.25">
      <c r="A437" s="2"/>
      <c r="C437" s="1"/>
    </row>
    <row r="438" spans="1:3" x14ac:dyDescent="0.25">
      <c r="A438" s="2"/>
      <c r="C438" s="1"/>
    </row>
    <row r="439" spans="1:3" x14ac:dyDescent="0.25">
      <c r="A439" s="2"/>
      <c r="C439" s="1"/>
    </row>
    <row r="440" spans="1:3" x14ac:dyDescent="0.25">
      <c r="A440" s="2"/>
      <c r="C440" s="1"/>
    </row>
    <row r="441" spans="1:3" x14ac:dyDescent="0.25">
      <c r="A441" s="2"/>
      <c r="C441" s="1"/>
    </row>
    <row r="442" spans="1:3" x14ac:dyDescent="0.25">
      <c r="A442" s="2"/>
      <c r="C442" s="1"/>
    </row>
    <row r="443" spans="1:3" x14ac:dyDescent="0.25">
      <c r="A443" s="2"/>
      <c r="C443" s="1"/>
    </row>
    <row r="444" spans="1:3" x14ac:dyDescent="0.25">
      <c r="A444" s="2"/>
      <c r="C444" s="1"/>
    </row>
    <row r="445" spans="1:3" x14ac:dyDescent="0.25">
      <c r="A445" s="2"/>
      <c r="C445" s="1"/>
    </row>
    <row r="446" spans="1:3" x14ac:dyDescent="0.25">
      <c r="A446" s="2"/>
      <c r="C446" s="1"/>
    </row>
    <row r="447" spans="1:3" x14ac:dyDescent="0.25">
      <c r="A447" s="2"/>
      <c r="C447" s="1"/>
    </row>
    <row r="448" spans="1:3" x14ac:dyDescent="0.25">
      <c r="A448" s="2"/>
      <c r="C448" s="1"/>
    </row>
    <row r="449" spans="1:3" x14ac:dyDescent="0.25">
      <c r="A449" s="2"/>
      <c r="C449" s="1"/>
    </row>
    <row r="450" spans="1:3" x14ac:dyDescent="0.25">
      <c r="A450" s="2"/>
      <c r="C450" s="1"/>
    </row>
    <row r="451" spans="1:3" x14ac:dyDescent="0.25">
      <c r="A451" s="2"/>
      <c r="C451" s="1"/>
    </row>
    <row r="452" spans="1:3" x14ac:dyDescent="0.25">
      <c r="A452" s="2"/>
      <c r="C452" s="1"/>
    </row>
    <row r="453" spans="1:3" x14ac:dyDescent="0.25">
      <c r="A453" s="2"/>
      <c r="C453" s="1"/>
    </row>
    <row r="454" spans="1:3" x14ac:dyDescent="0.25">
      <c r="A454" s="2"/>
      <c r="C454" s="1"/>
    </row>
    <row r="455" spans="1:3" x14ac:dyDescent="0.25">
      <c r="A455" s="2"/>
      <c r="C455" s="1"/>
    </row>
    <row r="456" spans="1:3" x14ac:dyDescent="0.25">
      <c r="A456" s="2"/>
      <c r="C456" s="1"/>
    </row>
    <row r="457" spans="1:3" x14ac:dyDescent="0.25">
      <c r="A457" s="2"/>
      <c r="C457" s="1"/>
    </row>
    <row r="458" spans="1:3" x14ac:dyDescent="0.25">
      <c r="A458" s="2"/>
      <c r="C458" s="1"/>
    </row>
    <row r="459" spans="1:3" x14ac:dyDescent="0.25">
      <c r="A459" s="2"/>
      <c r="C459" s="1"/>
    </row>
    <row r="460" spans="1:3" x14ac:dyDescent="0.25">
      <c r="A460" s="2"/>
      <c r="C460" s="1"/>
    </row>
    <row r="461" spans="1:3" x14ac:dyDescent="0.25">
      <c r="A461" s="2"/>
      <c r="C461" s="1"/>
    </row>
    <row r="462" spans="1:3" x14ac:dyDescent="0.25">
      <c r="A462" s="2"/>
      <c r="C462" s="1"/>
    </row>
    <row r="463" spans="1:3" x14ac:dyDescent="0.25">
      <c r="A463" s="2"/>
      <c r="C463" s="1"/>
    </row>
    <row r="464" spans="1:3" x14ac:dyDescent="0.25">
      <c r="A464" s="2"/>
      <c r="C464" s="1"/>
    </row>
    <row r="465" spans="1:3" x14ac:dyDescent="0.25">
      <c r="A465" s="2"/>
      <c r="C465" s="1"/>
    </row>
    <row r="466" spans="1:3" x14ac:dyDescent="0.25">
      <c r="A466" s="2"/>
      <c r="C466" s="1"/>
    </row>
    <row r="467" spans="1:3" x14ac:dyDescent="0.25">
      <c r="A467" s="2"/>
      <c r="C467" s="1"/>
    </row>
    <row r="468" spans="1:3" x14ac:dyDescent="0.25">
      <c r="A468" s="2"/>
      <c r="C468" s="1"/>
    </row>
    <row r="469" spans="1:3" x14ac:dyDescent="0.25">
      <c r="A469" s="2"/>
      <c r="C469" s="1"/>
    </row>
    <row r="470" spans="1:3" x14ac:dyDescent="0.25">
      <c r="A470" s="2"/>
      <c r="C470" s="1"/>
    </row>
    <row r="471" spans="1:3" x14ac:dyDescent="0.25">
      <c r="A471" s="2"/>
      <c r="C471" s="1"/>
    </row>
    <row r="472" spans="1:3" x14ac:dyDescent="0.25">
      <c r="A472" s="2"/>
      <c r="C472" s="1"/>
    </row>
    <row r="473" spans="1:3" x14ac:dyDescent="0.25">
      <c r="A473" s="2"/>
      <c r="C473" s="1"/>
    </row>
    <row r="474" spans="1:3" x14ac:dyDescent="0.25">
      <c r="A474" s="2"/>
      <c r="C474" s="1"/>
    </row>
    <row r="475" spans="1:3" x14ac:dyDescent="0.25">
      <c r="A475" s="2"/>
      <c r="C475" s="1"/>
    </row>
    <row r="476" spans="1:3" x14ac:dyDescent="0.25">
      <c r="A476" s="2"/>
      <c r="C476" s="1"/>
    </row>
    <row r="477" spans="1:3" x14ac:dyDescent="0.25">
      <c r="A477" s="2"/>
      <c r="C477" s="1"/>
    </row>
    <row r="478" spans="1:3" x14ac:dyDescent="0.25">
      <c r="A478" s="2"/>
      <c r="C478" s="1"/>
    </row>
    <row r="479" spans="1:3" x14ac:dyDescent="0.25">
      <c r="A479" s="2"/>
      <c r="C479" s="1"/>
    </row>
    <row r="480" spans="1:3" x14ac:dyDescent="0.25">
      <c r="A480" s="2"/>
      <c r="C480" s="1"/>
    </row>
    <row r="481" spans="1:3" x14ac:dyDescent="0.25">
      <c r="A481" s="2"/>
      <c r="C481" s="1"/>
    </row>
    <row r="482" spans="1:3" x14ac:dyDescent="0.25">
      <c r="A482" s="2"/>
      <c r="C482" s="1"/>
    </row>
    <row r="483" spans="1:3" x14ac:dyDescent="0.25">
      <c r="A483" s="2"/>
      <c r="C483" s="1"/>
    </row>
    <row r="484" spans="1:3" x14ac:dyDescent="0.25">
      <c r="A484" s="2"/>
      <c r="C484" s="1"/>
    </row>
    <row r="485" spans="1:3" x14ac:dyDescent="0.25">
      <c r="A485" s="2"/>
      <c r="C485" s="1"/>
    </row>
    <row r="486" spans="1:3" x14ac:dyDescent="0.25">
      <c r="A486" s="2"/>
      <c r="C486" s="1"/>
    </row>
    <row r="487" spans="1:3" x14ac:dyDescent="0.25">
      <c r="A487" s="2"/>
      <c r="C487" s="1"/>
    </row>
    <row r="488" spans="1:3" x14ac:dyDescent="0.25">
      <c r="A488" s="2"/>
      <c r="C488" s="1"/>
    </row>
    <row r="489" spans="1:3" x14ac:dyDescent="0.25">
      <c r="A489" s="2"/>
      <c r="C489" s="1"/>
    </row>
    <row r="490" spans="1:3" x14ac:dyDescent="0.25">
      <c r="A490" s="2"/>
      <c r="C490" s="1"/>
    </row>
    <row r="491" spans="1:3" x14ac:dyDescent="0.25">
      <c r="A491" s="2"/>
      <c r="C491" s="1"/>
    </row>
    <row r="492" spans="1:3" x14ac:dyDescent="0.25">
      <c r="A492" s="2"/>
      <c r="C492" s="1"/>
    </row>
    <row r="493" spans="1:3" x14ac:dyDescent="0.25">
      <c r="A493" s="2"/>
      <c r="C493" s="1"/>
    </row>
    <row r="494" spans="1:3" x14ac:dyDescent="0.25">
      <c r="A494" s="2"/>
      <c r="C494" s="1"/>
    </row>
    <row r="495" spans="1:3" x14ac:dyDescent="0.25">
      <c r="A495" s="2"/>
      <c r="C495" s="1"/>
    </row>
    <row r="496" spans="1:3" x14ac:dyDescent="0.25">
      <c r="A496" s="2"/>
      <c r="C496" s="1"/>
    </row>
    <row r="497" spans="1:3" x14ac:dyDescent="0.25">
      <c r="A497" s="2"/>
      <c r="C497" s="1"/>
    </row>
    <row r="498" spans="1:3" x14ac:dyDescent="0.25">
      <c r="A498" s="2"/>
      <c r="C498" s="1"/>
    </row>
    <row r="499" spans="1:3" x14ac:dyDescent="0.25">
      <c r="A499" s="2"/>
      <c r="C499" s="1"/>
    </row>
    <row r="500" spans="1:3" x14ac:dyDescent="0.25">
      <c r="A500" s="2"/>
      <c r="C500" s="1"/>
    </row>
    <row r="501" spans="1:3" x14ac:dyDescent="0.25">
      <c r="A501" s="2"/>
      <c r="C501" s="1"/>
    </row>
    <row r="502" spans="1:3" x14ac:dyDescent="0.25">
      <c r="A502" s="2"/>
      <c r="C502" s="1"/>
    </row>
    <row r="503" spans="1:3" x14ac:dyDescent="0.25">
      <c r="A503" s="2"/>
      <c r="C503" s="1"/>
    </row>
    <row r="504" spans="1:3" x14ac:dyDescent="0.25">
      <c r="A504" s="2"/>
      <c r="C504" s="1"/>
    </row>
    <row r="505" spans="1:3" x14ac:dyDescent="0.25">
      <c r="A505" s="2"/>
      <c r="C505" s="1"/>
    </row>
    <row r="506" spans="1:3" x14ac:dyDescent="0.25">
      <c r="A506" s="2"/>
      <c r="C506" s="1"/>
    </row>
    <row r="507" spans="1:3" x14ac:dyDescent="0.25">
      <c r="A507" s="2"/>
      <c r="C507" s="1"/>
    </row>
    <row r="508" spans="1:3" x14ac:dyDescent="0.25">
      <c r="A508" s="2"/>
      <c r="C508" s="1"/>
    </row>
    <row r="509" spans="1:3" x14ac:dyDescent="0.25">
      <c r="A509" s="2"/>
      <c r="C509" s="1"/>
    </row>
    <row r="510" spans="1:3" x14ac:dyDescent="0.25">
      <c r="A510" s="2"/>
      <c r="C510" s="1"/>
    </row>
    <row r="511" spans="1:3" x14ac:dyDescent="0.25">
      <c r="A511" s="2"/>
      <c r="C511" s="1"/>
    </row>
    <row r="512" spans="1:3" x14ac:dyDescent="0.25">
      <c r="A512" s="2"/>
      <c r="C512" s="1"/>
    </row>
    <row r="513" spans="1:3" x14ac:dyDescent="0.25">
      <c r="A513" s="2"/>
      <c r="C513" s="1"/>
    </row>
    <row r="514" spans="1:3" x14ac:dyDescent="0.25">
      <c r="A514" s="2"/>
      <c r="C514" s="1"/>
    </row>
    <row r="515" spans="1:3" x14ac:dyDescent="0.25">
      <c r="A515" s="2"/>
      <c r="C515" s="1"/>
    </row>
    <row r="516" spans="1:3" x14ac:dyDescent="0.25">
      <c r="A516" s="2"/>
      <c r="C516" s="1"/>
    </row>
    <row r="517" spans="1:3" x14ac:dyDescent="0.25">
      <c r="A517" s="2"/>
      <c r="C517" s="1"/>
    </row>
    <row r="518" spans="1:3" x14ac:dyDescent="0.25">
      <c r="A518" s="2"/>
      <c r="C518" s="1"/>
    </row>
    <row r="519" spans="1:3" x14ac:dyDescent="0.25">
      <c r="A519" s="2"/>
      <c r="C519" s="1"/>
    </row>
    <row r="520" spans="1:3" x14ac:dyDescent="0.25">
      <c r="A520" s="2"/>
      <c r="C520" s="1"/>
    </row>
    <row r="521" spans="1:3" x14ac:dyDescent="0.25">
      <c r="A521" s="2"/>
      <c r="C521" s="1"/>
    </row>
    <row r="522" spans="1:3" x14ac:dyDescent="0.25">
      <c r="A522" s="2"/>
      <c r="C522" s="1"/>
    </row>
    <row r="523" spans="1:3" x14ac:dyDescent="0.25">
      <c r="A523" s="2"/>
      <c r="C523" s="1"/>
    </row>
    <row r="524" spans="1:3" x14ac:dyDescent="0.25">
      <c r="A524" s="2"/>
      <c r="C524" s="1"/>
    </row>
    <row r="525" spans="1:3" x14ac:dyDescent="0.25">
      <c r="A525" s="2"/>
      <c r="C525" s="1"/>
    </row>
    <row r="526" spans="1:3" x14ac:dyDescent="0.25">
      <c r="A526" s="2"/>
      <c r="C526" s="1"/>
    </row>
    <row r="527" spans="1:3" x14ac:dyDescent="0.25">
      <c r="A527" s="2"/>
      <c r="C527" s="1"/>
    </row>
    <row r="528" spans="1:3" x14ac:dyDescent="0.25">
      <c r="A528" s="2"/>
      <c r="C528" s="1"/>
    </row>
    <row r="529" spans="1:3" x14ac:dyDescent="0.25">
      <c r="A529" s="2"/>
      <c r="C529" s="1"/>
    </row>
    <row r="530" spans="1:3" x14ac:dyDescent="0.25">
      <c r="A530" s="2"/>
      <c r="C530" s="1"/>
    </row>
    <row r="531" spans="1:3" x14ac:dyDescent="0.25">
      <c r="A531" s="2"/>
      <c r="C531" s="1"/>
    </row>
    <row r="532" spans="1:3" x14ac:dyDescent="0.25">
      <c r="A532" s="2"/>
      <c r="C532" s="1"/>
    </row>
    <row r="533" spans="1:3" x14ac:dyDescent="0.25">
      <c r="A533" s="2"/>
      <c r="C533" s="1"/>
    </row>
    <row r="534" spans="1:3" x14ac:dyDescent="0.25">
      <c r="A534" s="2"/>
      <c r="C534" s="1"/>
    </row>
    <row r="535" spans="1:3" x14ac:dyDescent="0.25">
      <c r="A535" s="2"/>
      <c r="C535" s="1"/>
    </row>
    <row r="536" spans="1:3" x14ac:dyDescent="0.25">
      <c r="A536" s="2"/>
      <c r="C536" s="1"/>
    </row>
    <row r="537" spans="1:3" x14ac:dyDescent="0.25">
      <c r="A537" s="2"/>
      <c r="C537" s="1"/>
    </row>
    <row r="538" spans="1:3" x14ac:dyDescent="0.25">
      <c r="A538" s="2"/>
      <c r="C538" s="1"/>
    </row>
    <row r="539" spans="1:3" x14ac:dyDescent="0.25">
      <c r="A539" s="2"/>
      <c r="C539" s="1"/>
    </row>
    <row r="540" spans="1:3" x14ac:dyDescent="0.25">
      <c r="A540" s="2"/>
      <c r="C540" s="1"/>
    </row>
    <row r="541" spans="1:3" x14ac:dyDescent="0.25">
      <c r="A541" s="2"/>
      <c r="C541" s="1"/>
    </row>
    <row r="542" spans="1:3" x14ac:dyDescent="0.25">
      <c r="A542" s="2"/>
      <c r="C542" s="1"/>
    </row>
    <row r="543" spans="1:3" x14ac:dyDescent="0.25">
      <c r="A543" s="2"/>
      <c r="C543" s="1"/>
    </row>
    <row r="544" spans="1:3" x14ac:dyDescent="0.25">
      <c r="A544" s="2"/>
      <c r="C544" s="1"/>
    </row>
    <row r="545" spans="1:3" x14ac:dyDescent="0.25">
      <c r="A545" s="2"/>
      <c r="C545" s="1"/>
    </row>
    <row r="546" spans="1:3" x14ac:dyDescent="0.25">
      <c r="A546" s="2"/>
      <c r="C546" s="1"/>
    </row>
    <row r="547" spans="1:3" x14ac:dyDescent="0.25">
      <c r="A547" s="2"/>
      <c r="C547" s="1"/>
    </row>
    <row r="548" spans="1:3" x14ac:dyDescent="0.25">
      <c r="A548" s="2"/>
      <c r="C548" s="1"/>
    </row>
    <row r="549" spans="1:3" x14ac:dyDescent="0.25">
      <c r="A549" s="2"/>
      <c r="C549" s="1"/>
    </row>
    <row r="550" spans="1:3" x14ac:dyDescent="0.25">
      <c r="A550" s="2"/>
      <c r="C550" s="1"/>
    </row>
    <row r="551" spans="1:3" x14ac:dyDescent="0.25">
      <c r="A551" s="2"/>
      <c r="C551" s="1"/>
    </row>
    <row r="552" spans="1:3" x14ac:dyDescent="0.25">
      <c r="A552" s="2"/>
      <c r="C552" s="1"/>
    </row>
    <row r="553" spans="1:3" x14ac:dyDescent="0.25">
      <c r="A553" s="2"/>
      <c r="C553" s="1"/>
    </row>
    <row r="554" spans="1:3" x14ac:dyDescent="0.25">
      <c r="A554" s="2"/>
      <c r="C554" s="1"/>
    </row>
    <row r="555" spans="1:3" x14ac:dyDescent="0.25">
      <c r="A555" s="2"/>
      <c r="C555" s="1"/>
    </row>
    <row r="556" spans="1:3" x14ac:dyDescent="0.25">
      <c r="A556" s="2"/>
      <c r="C556" s="1"/>
    </row>
    <row r="557" spans="1:3" x14ac:dyDescent="0.25">
      <c r="A557" s="2"/>
      <c r="C557" s="1"/>
    </row>
    <row r="558" spans="1:3" x14ac:dyDescent="0.25">
      <c r="A558" s="2"/>
      <c r="C558" s="1"/>
    </row>
    <row r="559" spans="1:3" x14ac:dyDescent="0.25">
      <c r="A559" s="2"/>
      <c r="C559" s="1"/>
    </row>
    <row r="560" spans="1:3" x14ac:dyDescent="0.25">
      <c r="A560" s="2"/>
      <c r="C560" s="1"/>
    </row>
    <row r="561" spans="1:3" x14ac:dyDescent="0.25">
      <c r="A561" s="2"/>
      <c r="C561" s="1"/>
    </row>
    <row r="562" spans="1:3" x14ac:dyDescent="0.25">
      <c r="A562" s="2"/>
      <c r="C562" s="1"/>
    </row>
    <row r="563" spans="1:3" x14ac:dyDescent="0.25">
      <c r="A563" s="2"/>
      <c r="C563" s="1"/>
    </row>
    <row r="564" spans="1:3" x14ac:dyDescent="0.25">
      <c r="A564" s="2"/>
      <c r="C564" s="1"/>
    </row>
    <row r="565" spans="1:3" x14ac:dyDescent="0.25">
      <c r="A565" s="2"/>
      <c r="C565" s="1"/>
    </row>
    <row r="566" spans="1:3" x14ac:dyDescent="0.25">
      <c r="A566" s="2"/>
      <c r="C566" s="1"/>
    </row>
    <row r="567" spans="1:3" x14ac:dyDescent="0.25">
      <c r="A567" s="2"/>
      <c r="C567" s="1"/>
    </row>
    <row r="568" spans="1:3" x14ac:dyDescent="0.25">
      <c r="A568" s="2"/>
      <c r="C568" s="1"/>
    </row>
    <row r="569" spans="1:3" x14ac:dyDescent="0.25">
      <c r="A569" s="2"/>
      <c r="C569" s="1"/>
    </row>
    <row r="570" spans="1:3" x14ac:dyDescent="0.25">
      <c r="A570" s="2"/>
      <c r="C570" s="1"/>
    </row>
    <row r="571" spans="1:3" x14ac:dyDescent="0.25">
      <c r="A571" s="2"/>
      <c r="C571" s="1"/>
    </row>
    <row r="572" spans="1:3" x14ac:dyDescent="0.25">
      <c r="A572" s="2"/>
      <c r="C572" s="1"/>
    </row>
    <row r="573" spans="1:3" x14ac:dyDescent="0.25">
      <c r="A573" s="2"/>
      <c r="C573" s="1"/>
    </row>
    <row r="574" spans="1:3" x14ac:dyDescent="0.25">
      <c r="A574" s="2"/>
      <c r="C574" s="1"/>
    </row>
    <row r="575" spans="1:3" x14ac:dyDescent="0.25">
      <c r="A575" s="2"/>
      <c r="C575" s="1"/>
    </row>
    <row r="576" spans="1:3" x14ac:dyDescent="0.25">
      <c r="A576" s="2"/>
      <c r="C576" s="1"/>
    </row>
    <row r="577" spans="1:3" x14ac:dyDescent="0.25">
      <c r="A577" s="2"/>
      <c r="C577" s="1"/>
    </row>
    <row r="578" spans="1:3" x14ac:dyDescent="0.25">
      <c r="A578" s="2"/>
      <c r="C578" s="1"/>
    </row>
    <row r="579" spans="1:3" x14ac:dyDescent="0.25">
      <c r="A579" s="2"/>
      <c r="C579" s="1"/>
    </row>
    <row r="580" spans="1:3" x14ac:dyDescent="0.25">
      <c r="A580" s="2"/>
      <c r="C580" s="1"/>
    </row>
    <row r="581" spans="1:3" x14ac:dyDescent="0.25">
      <c r="A581" s="2"/>
      <c r="C581" s="1"/>
    </row>
    <row r="582" spans="1:3" x14ac:dyDescent="0.25">
      <c r="A582" s="2"/>
      <c r="C582" s="1"/>
    </row>
    <row r="583" spans="1:3" x14ac:dyDescent="0.25">
      <c r="A583" s="2"/>
      <c r="C583" s="1"/>
    </row>
    <row r="584" spans="1:3" x14ac:dyDescent="0.25">
      <c r="A584" s="2"/>
      <c r="C584" s="1"/>
    </row>
    <row r="585" spans="1:3" x14ac:dyDescent="0.25">
      <c r="A585" s="2"/>
      <c r="C585" s="1"/>
    </row>
    <row r="586" spans="1:3" x14ac:dyDescent="0.25">
      <c r="A586" s="2"/>
      <c r="C586" s="1"/>
    </row>
    <row r="587" spans="1:3" x14ac:dyDescent="0.25">
      <c r="A587" s="2"/>
      <c r="C587" s="1"/>
    </row>
    <row r="588" spans="1:3" x14ac:dyDescent="0.25">
      <c r="A588" s="2"/>
      <c r="C588" s="1"/>
    </row>
    <row r="589" spans="1:3" x14ac:dyDescent="0.25">
      <c r="A589" s="2"/>
      <c r="C589" s="1"/>
    </row>
    <row r="590" spans="1:3" x14ac:dyDescent="0.25">
      <c r="A590" s="2"/>
    </row>
    <row r="591" spans="1:3" x14ac:dyDescent="0.25">
      <c r="A591" s="2"/>
      <c r="C591" s="4"/>
    </row>
    <row r="592" spans="1:3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3" spans="2:4" x14ac:dyDescent="0.25">
      <c r="B673" s="3" t="s">
        <v>5</v>
      </c>
      <c r="C673" s="5">
        <f>SUM(C2:C671)</f>
        <v>0</v>
      </c>
      <c r="D673" s="5">
        <f>SUM(D2:D671)</f>
        <v>39693.599999999999</v>
      </c>
    </row>
  </sheetData>
  <printOptions gridLines="1"/>
  <pageMargins left="0.7" right="0.7" top="0.75" bottom="0.75" header="0.3" footer="0.3"/>
  <pageSetup scale="6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82"/>
  <sheetViews>
    <sheetView workbookViewId="0">
      <pane ySplit="1" topLeftCell="A2" activePane="bottomLeft" state="frozen"/>
      <selection pane="bottomLeft"/>
    </sheetView>
  </sheetViews>
  <sheetFormatPr defaultColWidth="16.7109375" defaultRowHeight="15" x14ac:dyDescent="0.25"/>
  <cols>
    <col min="1" max="1" width="14" customWidth="1"/>
    <col min="2" max="2" width="29.5703125" customWidth="1"/>
    <col min="3" max="3" width="24.5703125" customWidth="1"/>
    <col min="4" max="4" width="14.42578125" style="5" customWidth="1"/>
    <col min="5" max="5" width="12.140625" style="5" customWidth="1"/>
    <col min="6" max="6" width="11.140625" style="6" customWidth="1"/>
  </cols>
  <sheetData>
    <row r="1" spans="1:6" x14ac:dyDescent="0.25">
      <c r="A1" s="10" t="s">
        <v>0</v>
      </c>
      <c r="B1" s="10" t="s">
        <v>20</v>
      </c>
      <c r="C1" s="10" t="s">
        <v>1</v>
      </c>
      <c r="D1" s="11" t="s">
        <v>2</v>
      </c>
      <c r="E1" s="11" t="s">
        <v>3</v>
      </c>
      <c r="F1" s="11" t="s">
        <v>4</v>
      </c>
    </row>
    <row r="2" spans="1:6" x14ac:dyDescent="0.25">
      <c r="A2" s="2">
        <v>44562</v>
      </c>
      <c r="B2" s="1" t="s">
        <v>25</v>
      </c>
      <c r="C2" s="1" t="s">
        <v>26</v>
      </c>
      <c r="D2" s="5">
        <v>40</v>
      </c>
      <c r="E2" s="5">
        <v>0</v>
      </c>
      <c r="F2" s="5">
        <v>40</v>
      </c>
    </row>
    <row r="3" spans="1:6" x14ac:dyDescent="0.25">
      <c r="A3" s="2">
        <v>44566</v>
      </c>
      <c r="B3" s="1" t="s">
        <v>21</v>
      </c>
      <c r="C3" s="1" t="s">
        <v>6</v>
      </c>
      <c r="D3" s="5">
        <v>296.08</v>
      </c>
      <c r="E3" s="5">
        <v>0</v>
      </c>
      <c r="F3" s="5">
        <v>296.08</v>
      </c>
    </row>
    <row r="4" spans="1:6" x14ac:dyDescent="0.25">
      <c r="A4" s="2">
        <v>44571</v>
      </c>
      <c r="B4" s="1" t="s">
        <v>27</v>
      </c>
      <c r="C4" s="1" t="s">
        <v>22</v>
      </c>
      <c r="D4" s="5">
        <v>270</v>
      </c>
      <c r="E4" s="5">
        <v>-8.2899999999999991</v>
      </c>
      <c r="F4" s="5">
        <v>261.70999999999998</v>
      </c>
    </row>
    <row r="5" spans="1:6" x14ac:dyDescent="0.25">
      <c r="A5" s="2">
        <v>44573</v>
      </c>
      <c r="B5" s="1" t="s">
        <v>21</v>
      </c>
      <c r="C5" s="1" t="s">
        <v>6</v>
      </c>
      <c r="D5" s="5">
        <v>194.36</v>
      </c>
      <c r="E5" s="5">
        <v>0</v>
      </c>
      <c r="F5" s="5">
        <v>194.36</v>
      </c>
    </row>
    <row r="6" spans="1:6" x14ac:dyDescent="0.25">
      <c r="A6" s="2">
        <v>44573</v>
      </c>
      <c r="B6" s="1" t="s">
        <v>25</v>
      </c>
      <c r="C6" s="1" t="s">
        <v>26</v>
      </c>
      <c r="D6" s="5">
        <v>35</v>
      </c>
      <c r="E6" s="5">
        <v>0</v>
      </c>
      <c r="F6" s="5">
        <v>35</v>
      </c>
    </row>
    <row r="7" spans="1:6" x14ac:dyDescent="0.25">
      <c r="A7" s="2">
        <v>44580</v>
      </c>
      <c r="B7" s="1" t="s">
        <v>21</v>
      </c>
      <c r="C7" s="1" t="s">
        <v>6</v>
      </c>
      <c r="D7" s="5">
        <v>245.28</v>
      </c>
      <c r="E7" s="5">
        <v>0</v>
      </c>
      <c r="F7" s="5">
        <v>245.28</v>
      </c>
    </row>
    <row r="8" spans="1:6" x14ac:dyDescent="0.25">
      <c r="A8" s="2">
        <v>44587</v>
      </c>
      <c r="B8" s="1" t="s">
        <v>21</v>
      </c>
      <c r="C8" s="1" t="s">
        <v>6</v>
      </c>
      <c r="D8" s="5">
        <v>193.4</v>
      </c>
      <c r="E8" s="5">
        <v>0</v>
      </c>
      <c r="F8" s="5">
        <v>193.4</v>
      </c>
    </row>
    <row r="9" spans="1:6" x14ac:dyDescent="0.25">
      <c r="A9" s="2">
        <v>44589</v>
      </c>
      <c r="B9" s="1" t="s">
        <v>25</v>
      </c>
      <c r="C9" s="1" t="s">
        <v>26</v>
      </c>
      <c r="D9" s="5">
        <v>50</v>
      </c>
      <c r="E9" s="5">
        <v>0</v>
      </c>
      <c r="F9" s="5">
        <v>50</v>
      </c>
    </row>
    <row r="10" spans="1:6" x14ac:dyDescent="0.25">
      <c r="A10" s="2">
        <v>44594</v>
      </c>
      <c r="B10" s="1" t="s">
        <v>21</v>
      </c>
      <c r="C10" s="1" t="s">
        <v>6</v>
      </c>
      <c r="D10" s="5">
        <v>303.56</v>
      </c>
      <c r="E10" s="5">
        <v>0</v>
      </c>
      <c r="F10" s="5">
        <v>303.56</v>
      </c>
    </row>
    <row r="11" spans="1:6" x14ac:dyDescent="0.25">
      <c r="A11" s="2">
        <v>44601</v>
      </c>
      <c r="B11" s="1" t="s">
        <v>21</v>
      </c>
      <c r="C11" s="1" t="s">
        <v>6</v>
      </c>
      <c r="D11" s="5">
        <v>322.95</v>
      </c>
      <c r="E11" s="5">
        <v>0</v>
      </c>
      <c r="F11" s="5">
        <v>322.95</v>
      </c>
    </row>
    <row r="12" spans="1:6" x14ac:dyDescent="0.25">
      <c r="A12" s="2">
        <v>44608</v>
      </c>
      <c r="B12" s="1" t="s">
        <v>21</v>
      </c>
      <c r="C12" s="1" t="s">
        <v>6</v>
      </c>
      <c r="D12" s="5">
        <v>237.2</v>
      </c>
      <c r="E12" s="5">
        <v>0</v>
      </c>
      <c r="F12" s="5">
        <v>237.2</v>
      </c>
    </row>
    <row r="13" spans="1:6" x14ac:dyDescent="0.25">
      <c r="A13" s="2">
        <v>44615</v>
      </c>
      <c r="B13" s="1" t="s">
        <v>21</v>
      </c>
      <c r="C13" s="1" t="s">
        <v>6</v>
      </c>
      <c r="D13" s="5">
        <v>279.57</v>
      </c>
      <c r="E13" s="5">
        <v>0</v>
      </c>
      <c r="F13" s="5">
        <v>279.57</v>
      </c>
    </row>
    <row r="14" spans="1:6" x14ac:dyDescent="0.25">
      <c r="A14" s="2">
        <v>44622</v>
      </c>
      <c r="B14" s="1" t="s">
        <v>21</v>
      </c>
      <c r="C14" s="1" t="s">
        <v>6</v>
      </c>
      <c r="D14" s="5">
        <v>288.61</v>
      </c>
      <c r="E14" s="5">
        <v>0</v>
      </c>
      <c r="F14" s="5">
        <v>288.61</v>
      </c>
    </row>
    <row r="15" spans="1:6" x14ac:dyDescent="0.25">
      <c r="A15" s="2">
        <v>44629</v>
      </c>
      <c r="B15" s="1" t="s">
        <v>21</v>
      </c>
      <c r="C15" s="1" t="s">
        <v>6</v>
      </c>
      <c r="D15" s="5">
        <v>225.76</v>
      </c>
      <c r="E15" s="5">
        <v>0</v>
      </c>
      <c r="F15" s="5">
        <v>225.76</v>
      </c>
    </row>
    <row r="16" spans="1:6" x14ac:dyDescent="0.25">
      <c r="A16" s="2">
        <v>44636</v>
      </c>
      <c r="B16" s="1" t="s">
        <v>21</v>
      </c>
      <c r="C16" s="1" t="s">
        <v>6</v>
      </c>
      <c r="D16" s="5">
        <v>146.6</v>
      </c>
      <c r="E16" s="5">
        <v>0</v>
      </c>
      <c r="F16" s="5">
        <v>146.6</v>
      </c>
    </row>
    <row r="17" spans="1:6" x14ac:dyDescent="0.25">
      <c r="A17" s="2">
        <v>44643</v>
      </c>
      <c r="B17" s="1" t="s">
        <v>21</v>
      </c>
      <c r="C17" s="1" t="s">
        <v>6</v>
      </c>
      <c r="D17" s="5">
        <v>261.68</v>
      </c>
      <c r="E17" s="5">
        <v>0</v>
      </c>
      <c r="F17" s="5">
        <v>261.68</v>
      </c>
    </row>
    <row r="18" spans="1:6" x14ac:dyDescent="0.25">
      <c r="A18" s="2">
        <v>44650</v>
      </c>
      <c r="B18" s="1" t="s">
        <v>21</v>
      </c>
      <c r="C18" s="1" t="s">
        <v>6</v>
      </c>
      <c r="D18" s="5">
        <v>224.27</v>
      </c>
      <c r="E18" s="5">
        <v>0</v>
      </c>
      <c r="F18" s="5">
        <v>224.27</v>
      </c>
    </row>
    <row r="19" spans="1:6" x14ac:dyDescent="0.25">
      <c r="A19" s="2">
        <v>44657</v>
      </c>
      <c r="B19" s="1" t="s">
        <v>21</v>
      </c>
      <c r="C19" s="1" t="s">
        <v>6</v>
      </c>
      <c r="D19" s="5">
        <v>204.86</v>
      </c>
      <c r="E19" s="5">
        <v>0</v>
      </c>
      <c r="F19" s="5">
        <v>204.86</v>
      </c>
    </row>
    <row r="20" spans="1:6" x14ac:dyDescent="0.25">
      <c r="A20" s="2">
        <v>44657</v>
      </c>
      <c r="B20" s="1" t="s">
        <v>28</v>
      </c>
      <c r="C20" s="1" t="s">
        <v>22</v>
      </c>
      <c r="D20" s="5">
        <v>200</v>
      </c>
      <c r="E20" s="5">
        <v>-6.27</v>
      </c>
      <c r="F20" s="5">
        <v>193.73</v>
      </c>
    </row>
    <row r="21" spans="1:6" x14ac:dyDescent="0.25">
      <c r="A21" s="2">
        <v>44662</v>
      </c>
      <c r="B21" s="1" t="s">
        <v>29</v>
      </c>
      <c r="C21" s="1" t="s">
        <v>23</v>
      </c>
      <c r="D21" s="5">
        <v>90</v>
      </c>
      <c r="E21" s="5">
        <v>-3.09</v>
      </c>
      <c r="F21" s="5">
        <v>86.91</v>
      </c>
    </row>
    <row r="22" spans="1:6" x14ac:dyDescent="0.25">
      <c r="A22" s="2">
        <v>44664</v>
      </c>
      <c r="B22" s="1" t="s">
        <v>21</v>
      </c>
      <c r="C22" s="1" t="s">
        <v>6</v>
      </c>
      <c r="D22" s="5">
        <v>318.62</v>
      </c>
      <c r="E22" s="5">
        <v>0</v>
      </c>
      <c r="F22" s="5">
        <v>318.62</v>
      </c>
    </row>
    <row r="23" spans="1:6" x14ac:dyDescent="0.25">
      <c r="A23" s="2">
        <v>44664</v>
      </c>
      <c r="B23" s="1" t="s">
        <v>30</v>
      </c>
      <c r="C23" s="1" t="s">
        <v>23</v>
      </c>
      <c r="D23" s="5">
        <v>75</v>
      </c>
      <c r="E23" s="5">
        <v>0</v>
      </c>
      <c r="F23" s="5">
        <v>75</v>
      </c>
    </row>
    <row r="24" spans="1:6" x14ac:dyDescent="0.25">
      <c r="A24" s="2">
        <v>44665</v>
      </c>
      <c r="B24" s="1" t="s">
        <v>25</v>
      </c>
      <c r="C24" s="1" t="s">
        <v>26</v>
      </c>
      <c r="D24" s="5">
        <v>55</v>
      </c>
      <c r="E24" s="5">
        <v>0</v>
      </c>
      <c r="F24" s="5">
        <v>55</v>
      </c>
    </row>
    <row r="25" spans="1:6" x14ac:dyDescent="0.25">
      <c r="A25" s="2">
        <v>44666</v>
      </c>
      <c r="B25" s="1" t="s">
        <v>31</v>
      </c>
      <c r="C25" s="1" t="s">
        <v>22</v>
      </c>
      <c r="D25" s="5">
        <v>35</v>
      </c>
      <c r="E25" s="5">
        <v>0</v>
      </c>
      <c r="F25" s="5">
        <v>35</v>
      </c>
    </row>
    <row r="26" spans="1:6" x14ac:dyDescent="0.25">
      <c r="A26" s="2">
        <v>44671</v>
      </c>
      <c r="B26" s="1" t="s">
        <v>21</v>
      </c>
      <c r="C26" s="1" t="s">
        <v>6</v>
      </c>
      <c r="D26" s="5">
        <v>272.13</v>
      </c>
      <c r="E26" s="5">
        <v>0</v>
      </c>
      <c r="F26" s="5">
        <v>272.13</v>
      </c>
    </row>
    <row r="27" spans="1:6" x14ac:dyDescent="0.25">
      <c r="A27" s="2">
        <v>44672</v>
      </c>
      <c r="B27" s="1" t="s">
        <v>32</v>
      </c>
      <c r="C27" s="1" t="s">
        <v>23</v>
      </c>
      <c r="D27" s="5">
        <v>80</v>
      </c>
      <c r="E27" s="5">
        <v>-2.8</v>
      </c>
      <c r="F27" s="5">
        <v>77.2</v>
      </c>
    </row>
    <row r="28" spans="1:6" x14ac:dyDescent="0.25">
      <c r="A28" s="2">
        <v>44678</v>
      </c>
      <c r="B28" s="1" t="s">
        <v>21</v>
      </c>
      <c r="C28" s="1" t="s">
        <v>6</v>
      </c>
      <c r="D28" s="5">
        <v>272.33999999999997</v>
      </c>
      <c r="E28" s="5">
        <v>0</v>
      </c>
      <c r="F28" s="5">
        <v>272.33999999999997</v>
      </c>
    </row>
    <row r="29" spans="1:6" x14ac:dyDescent="0.25">
      <c r="A29" s="2">
        <v>44682</v>
      </c>
      <c r="B29" s="1" t="s">
        <v>33</v>
      </c>
      <c r="C29" s="1" t="s">
        <v>22</v>
      </c>
      <c r="D29" s="5">
        <v>1</v>
      </c>
      <c r="E29" s="5">
        <v>0</v>
      </c>
      <c r="F29" s="5">
        <v>1</v>
      </c>
    </row>
    <row r="30" spans="1:6" x14ac:dyDescent="0.25">
      <c r="A30" s="2">
        <v>44682</v>
      </c>
      <c r="B30" s="1" t="s">
        <v>33</v>
      </c>
      <c r="C30" s="1" t="s">
        <v>22</v>
      </c>
      <c r="D30" s="5">
        <v>499</v>
      </c>
      <c r="E30" s="5">
        <v>0</v>
      </c>
      <c r="F30" s="5">
        <v>499</v>
      </c>
    </row>
    <row r="31" spans="1:6" x14ac:dyDescent="0.25">
      <c r="A31" s="2">
        <v>44683</v>
      </c>
      <c r="B31" s="1" t="s">
        <v>34</v>
      </c>
      <c r="C31" s="1" t="s">
        <v>22</v>
      </c>
      <c r="D31" s="5">
        <v>200</v>
      </c>
      <c r="E31" s="5">
        <v>-6.27</v>
      </c>
      <c r="F31" s="5">
        <v>193.73</v>
      </c>
    </row>
    <row r="32" spans="1:6" x14ac:dyDescent="0.25">
      <c r="A32" s="2">
        <v>44685</v>
      </c>
      <c r="B32" s="1" t="s">
        <v>21</v>
      </c>
      <c r="C32" s="1" t="s">
        <v>6</v>
      </c>
      <c r="D32" s="5">
        <v>195.9</v>
      </c>
      <c r="E32" s="5">
        <v>0</v>
      </c>
      <c r="F32" s="5">
        <v>195.9</v>
      </c>
    </row>
    <row r="33" spans="1:6" x14ac:dyDescent="0.25">
      <c r="A33" s="2">
        <v>44686</v>
      </c>
      <c r="B33" s="1" t="s">
        <v>25</v>
      </c>
      <c r="C33" s="1" t="s">
        <v>26</v>
      </c>
      <c r="D33" s="5">
        <v>80</v>
      </c>
      <c r="E33" s="5">
        <v>0</v>
      </c>
      <c r="F33" s="5">
        <v>80</v>
      </c>
    </row>
    <row r="34" spans="1:6" x14ac:dyDescent="0.25">
      <c r="A34" s="2">
        <v>44690</v>
      </c>
      <c r="B34" s="1" t="s">
        <v>35</v>
      </c>
      <c r="C34" s="1" t="s">
        <v>23</v>
      </c>
      <c r="D34" s="5">
        <v>80</v>
      </c>
      <c r="E34" s="5">
        <v>-2.8</v>
      </c>
      <c r="F34" s="5">
        <v>77.2</v>
      </c>
    </row>
    <row r="35" spans="1:6" x14ac:dyDescent="0.25">
      <c r="A35" s="2">
        <v>44692</v>
      </c>
      <c r="B35" s="1" t="s">
        <v>21</v>
      </c>
      <c r="C35" s="1" t="s">
        <v>6</v>
      </c>
      <c r="D35" s="5">
        <v>279.63</v>
      </c>
      <c r="E35" s="5">
        <v>0</v>
      </c>
      <c r="F35" s="5">
        <v>279.63</v>
      </c>
    </row>
    <row r="36" spans="1:6" x14ac:dyDescent="0.25">
      <c r="A36" s="2">
        <v>44699</v>
      </c>
      <c r="B36" s="1" t="s">
        <v>21</v>
      </c>
      <c r="C36" s="1" t="s">
        <v>6</v>
      </c>
      <c r="D36" s="5">
        <v>339.79</v>
      </c>
      <c r="E36" s="5">
        <v>0</v>
      </c>
      <c r="F36" s="5">
        <v>339.79</v>
      </c>
    </row>
    <row r="37" spans="1:6" x14ac:dyDescent="0.25">
      <c r="A37" s="2">
        <v>44699</v>
      </c>
      <c r="B37" s="1" t="s">
        <v>36</v>
      </c>
      <c r="C37" s="1" t="s">
        <v>23</v>
      </c>
      <c r="D37" s="5">
        <v>80</v>
      </c>
      <c r="E37" s="5">
        <v>-2.8</v>
      </c>
      <c r="F37" s="5">
        <v>77.2</v>
      </c>
    </row>
    <row r="38" spans="1:6" x14ac:dyDescent="0.25">
      <c r="A38" s="2">
        <v>44706</v>
      </c>
      <c r="B38" s="1" t="s">
        <v>21</v>
      </c>
      <c r="C38" s="1" t="s">
        <v>6</v>
      </c>
      <c r="D38" s="5">
        <v>275.29000000000002</v>
      </c>
      <c r="E38" s="5">
        <v>0</v>
      </c>
      <c r="F38" s="5">
        <v>275.29000000000002</v>
      </c>
    </row>
    <row r="39" spans="1:6" x14ac:dyDescent="0.25">
      <c r="A39" s="2">
        <v>44713</v>
      </c>
      <c r="B39" s="1" t="s">
        <v>21</v>
      </c>
      <c r="C39" s="1" t="s">
        <v>6</v>
      </c>
      <c r="D39" s="5">
        <v>263.14999999999998</v>
      </c>
      <c r="E39" s="5">
        <v>0</v>
      </c>
      <c r="F39" s="5">
        <v>263.14999999999998</v>
      </c>
    </row>
    <row r="40" spans="1:6" x14ac:dyDescent="0.25">
      <c r="A40" s="2">
        <v>44720</v>
      </c>
      <c r="B40" s="1" t="s">
        <v>21</v>
      </c>
      <c r="C40" s="1" t="s">
        <v>6</v>
      </c>
      <c r="D40" s="5">
        <v>231.72</v>
      </c>
      <c r="E40" s="5">
        <v>0</v>
      </c>
      <c r="F40" s="5">
        <v>231.72</v>
      </c>
    </row>
    <row r="41" spans="1:6" x14ac:dyDescent="0.25">
      <c r="A41" s="2">
        <v>44727</v>
      </c>
      <c r="B41" s="1" t="s">
        <v>21</v>
      </c>
      <c r="C41" s="1" t="s">
        <v>6</v>
      </c>
      <c r="D41" s="5">
        <v>186.91</v>
      </c>
      <c r="E41" s="5">
        <v>0</v>
      </c>
      <c r="F41" s="5">
        <v>186.91</v>
      </c>
    </row>
    <row r="42" spans="1:6" x14ac:dyDescent="0.25">
      <c r="A42" s="2">
        <v>44734</v>
      </c>
      <c r="B42" s="1" t="s">
        <v>21</v>
      </c>
      <c r="C42" s="1" t="s">
        <v>6</v>
      </c>
      <c r="D42" s="5">
        <v>213.82</v>
      </c>
      <c r="E42" s="5">
        <v>0</v>
      </c>
      <c r="F42" s="5">
        <v>213.82</v>
      </c>
    </row>
    <row r="43" spans="1:6" x14ac:dyDescent="0.25">
      <c r="A43" s="2">
        <v>44741</v>
      </c>
      <c r="B43" s="1" t="s">
        <v>21</v>
      </c>
      <c r="C43" s="1" t="s">
        <v>6</v>
      </c>
      <c r="D43" s="5">
        <v>212.34</v>
      </c>
      <c r="E43" s="5">
        <v>0</v>
      </c>
      <c r="F43" s="5">
        <v>212.34</v>
      </c>
    </row>
    <row r="44" spans="1:6" x14ac:dyDescent="0.25">
      <c r="A44" s="2">
        <v>44745</v>
      </c>
      <c r="B44" s="1" t="s">
        <v>37</v>
      </c>
      <c r="C44" s="1" t="s">
        <v>23</v>
      </c>
      <c r="D44" s="5">
        <v>30</v>
      </c>
      <c r="E44" s="5">
        <v>-1.36</v>
      </c>
      <c r="F44" s="5">
        <v>28.64</v>
      </c>
    </row>
    <row r="45" spans="1:6" x14ac:dyDescent="0.25">
      <c r="A45" s="2">
        <v>44748</v>
      </c>
      <c r="B45" s="1" t="s">
        <v>21</v>
      </c>
      <c r="C45" s="1" t="s">
        <v>6</v>
      </c>
      <c r="D45" s="5">
        <v>305.04000000000002</v>
      </c>
      <c r="E45" s="5">
        <v>0</v>
      </c>
      <c r="F45" s="5">
        <v>305.04000000000002</v>
      </c>
    </row>
    <row r="46" spans="1:6" x14ac:dyDescent="0.25">
      <c r="A46" s="2">
        <v>44754</v>
      </c>
      <c r="B46" s="1" t="s">
        <v>38</v>
      </c>
      <c r="C46" s="1" t="s">
        <v>23</v>
      </c>
      <c r="D46" s="5">
        <v>30</v>
      </c>
      <c r="E46" s="5">
        <v>-1.36</v>
      </c>
      <c r="F46" s="5">
        <v>28.64</v>
      </c>
    </row>
    <row r="47" spans="1:6" x14ac:dyDescent="0.25">
      <c r="A47" s="2">
        <v>44755</v>
      </c>
      <c r="B47" s="1" t="s">
        <v>21</v>
      </c>
      <c r="C47" s="1" t="s">
        <v>6</v>
      </c>
      <c r="D47" s="5">
        <v>299.08</v>
      </c>
      <c r="E47" s="5">
        <v>0</v>
      </c>
      <c r="F47" s="5">
        <v>299.08</v>
      </c>
    </row>
    <row r="48" spans="1:6" x14ac:dyDescent="0.25">
      <c r="A48" s="2">
        <v>44762</v>
      </c>
      <c r="B48" s="1" t="s">
        <v>21</v>
      </c>
      <c r="C48" s="1" t="s">
        <v>6</v>
      </c>
      <c r="D48" s="5">
        <v>191.4</v>
      </c>
      <c r="E48" s="5">
        <v>0</v>
      </c>
      <c r="F48" s="5">
        <v>191.4</v>
      </c>
    </row>
    <row r="49" spans="1:6" x14ac:dyDescent="0.25">
      <c r="A49" s="2">
        <v>44769</v>
      </c>
      <c r="B49" s="1" t="s">
        <v>21</v>
      </c>
      <c r="C49" s="1" t="s">
        <v>6</v>
      </c>
      <c r="D49" s="5">
        <v>215.78</v>
      </c>
      <c r="E49" s="5">
        <v>0</v>
      </c>
      <c r="F49" s="5">
        <v>215.78</v>
      </c>
    </row>
    <row r="50" spans="1:6" x14ac:dyDescent="0.25">
      <c r="A50" s="2">
        <v>44776</v>
      </c>
      <c r="B50" s="1" t="s">
        <v>21</v>
      </c>
      <c r="C50" s="1" t="s">
        <v>6</v>
      </c>
      <c r="D50" s="5">
        <v>236.23</v>
      </c>
      <c r="E50" s="5">
        <v>0</v>
      </c>
      <c r="F50" s="5">
        <v>236.23</v>
      </c>
    </row>
    <row r="51" spans="1:6" x14ac:dyDescent="0.25">
      <c r="A51" s="2">
        <v>44778</v>
      </c>
      <c r="B51" s="1" t="s">
        <v>39</v>
      </c>
      <c r="C51" s="1" t="s">
        <v>23</v>
      </c>
      <c r="D51" s="5">
        <v>225</v>
      </c>
      <c r="E51" s="5">
        <v>-6.73</v>
      </c>
      <c r="F51" s="5">
        <v>218.27</v>
      </c>
    </row>
    <row r="52" spans="1:6" x14ac:dyDescent="0.25">
      <c r="A52" s="2">
        <v>44783</v>
      </c>
      <c r="B52" s="1" t="s">
        <v>21</v>
      </c>
      <c r="C52" s="1" t="s">
        <v>6</v>
      </c>
      <c r="D52" s="5">
        <v>296.02999999999997</v>
      </c>
      <c r="E52" s="5">
        <v>0</v>
      </c>
      <c r="F52" s="5">
        <v>296.02999999999997</v>
      </c>
    </row>
    <row r="53" spans="1:6" x14ac:dyDescent="0.25">
      <c r="A53" s="2">
        <v>44790</v>
      </c>
      <c r="B53" s="1" t="s">
        <v>21</v>
      </c>
      <c r="C53" s="1" t="s">
        <v>6</v>
      </c>
      <c r="D53" s="5">
        <v>200.33</v>
      </c>
      <c r="E53" s="5">
        <v>0</v>
      </c>
      <c r="F53" s="5">
        <v>200.33</v>
      </c>
    </row>
    <row r="54" spans="1:6" x14ac:dyDescent="0.25">
      <c r="A54" s="2">
        <v>44797</v>
      </c>
      <c r="B54" s="1" t="s">
        <v>21</v>
      </c>
      <c r="C54" s="1" t="s">
        <v>6</v>
      </c>
      <c r="D54" s="5">
        <v>170.49</v>
      </c>
      <c r="E54" s="5">
        <v>0</v>
      </c>
      <c r="F54" s="5">
        <v>170.49</v>
      </c>
    </row>
    <row r="55" spans="1:6" x14ac:dyDescent="0.25">
      <c r="A55" s="2">
        <v>44801</v>
      </c>
      <c r="B55" s="1" t="s">
        <v>40</v>
      </c>
      <c r="C55" s="1" t="s">
        <v>23</v>
      </c>
      <c r="D55" s="5">
        <v>90</v>
      </c>
      <c r="E55" s="5">
        <v>-2.69</v>
      </c>
      <c r="F55" s="5">
        <v>87.31</v>
      </c>
    </row>
    <row r="56" spans="1:6" x14ac:dyDescent="0.25">
      <c r="A56" s="2">
        <v>44804</v>
      </c>
      <c r="B56" s="1" t="s">
        <v>21</v>
      </c>
      <c r="C56" s="1" t="s">
        <v>6</v>
      </c>
      <c r="D56" s="5">
        <v>176.45</v>
      </c>
      <c r="E56" s="5">
        <v>0</v>
      </c>
      <c r="F56" s="5">
        <v>176.45</v>
      </c>
    </row>
    <row r="57" spans="1:6" x14ac:dyDescent="0.25">
      <c r="A57" s="2">
        <v>44804</v>
      </c>
      <c r="B57" s="1" t="s">
        <v>41</v>
      </c>
      <c r="C57" s="1" t="s">
        <v>23</v>
      </c>
      <c r="D57" s="5">
        <v>160</v>
      </c>
      <c r="E57" s="5">
        <v>-4.78</v>
      </c>
      <c r="F57" s="5">
        <v>155.22</v>
      </c>
    </row>
    <row r="58" spans="1:6" x14ac:dyDescent="0.25">
      <c r="A58" s="2">
        <v>44810</v>
      </c>
      <c r="B58" s="1" t="s">
        <v>42</v>
      </c>
      <c r="C58" s="1" t="s">
        <v>23</v>
      </c>
      <c r="D58" s="5">
        <v>40</v>
      </c>
      <c r="E58" s="5">
        <v>-1.2</v>
      </c>
      <c r="F58" s="5">
        <v>38.799999999999997</v>
      </c>
    </row>
    <row r="59" spans="1:6" x14ac:dyDescent="0.25">
      <c r="A59" s="2">
        <v>44811</v>
      </c>
      <c r="B59" s="1" t="s">
        <v>21</v>
      </c>
      <c r="C59" s="1" t="s">
        <v>6</v>
      </c>
      <c r="D59" s="5">
        <v>209.31</v>
      </c>
      <c r="E59" s="5">
        <v>0</v>
      </c>
      <c r="F59" s="5">
        <v>209.31</v>
      </c>
    </row>
    <row r="60" spans="1:6" x14ac:dyDescent="0.25">
      <c r="A60" s="2">
        <v>44818</v>
      </c>
      <c r="B60" s="1" t="s">
        <v>21</v>
      </c>
      <c r="C60" s="1" t="s">
        <v>6</v>
      </c>
      <c r="D60" s="5">
        <v>176.42</v>
      </c>
      <c r="E60" s="5">
        <v>0</v>
      </c>
      <c r="F60" s="5">
        <v>176.42</v>
      </c>
    </row>
    <row r="61" spans="1:6" x14ac:dyDescent="0.25">
      <c r="A61" s="2">
        <v>44825</v>
      </c>
      <c r="B61" s="1" t="s">
        <v>21</v>
      </c>
      <c r="C61" s="1" t="s">
        <v>6</v>
      </c>
      <c r="D61" s="5">
        <v>255.7</v>
      </c>
      <c r="E61" s="5">
        <v>0</v>
      </c>
      <c r="F61" s="5">
        <v>255.7</v>
      </c>
    </row>
    <row r="62" spans="1:6" x14ac:dyDescent="0.25">
      <c r="A62" s="2">
        <v>44832</v>
      </c>
      <c r="B62" s="1" t="s">
        <v>21</v>
      </c>
      <c r="C62" s="1" t="s">
        <v>6</v>
      </c>
      <c r="D62" s="5">
        <v>179.46</v>
      </c>
      <c r="E62" s="5">
        <v>0</v>
      </c>
      <c r="F62" s="5">
        <v>179.46</v>
      </c>
    </row>
    <row r="63" spans="1:6" x14ac:dyDescent="0.25">
      <c r="A63" s="2">
        <v>44839</v>
      </c>
      <c r="B63" s="1" t="s">
        <v>21</v>
      </c>
      <c r="C63" s="1" t="s">
        <v>6</v>
      </c>
      <c r="D63" s="5">
        <v>202</v>
      </c>
      <c r="E63" s="5">
        <v>0</v>
      </c>
      <c r="F63" s="5">
        <v>202</v>
      </c>
    </row>
    <row r="64" spans="1:6" x14ac:dyDescent="0.25">
      <c r="A64" s="2">
        <v>44846</v>
      </c>
      <c r="B64" s="1" t="s">
        <v>21</v>
      </c>
      <c r="C64" s="1" t="s">
        <v>6</v>
      </c>
      <c r="D64" s="5">
        <v>149.55000000000001</v>
      </c>
      <c r="E64" s="5">
        <v>0</v>
      </c>
      <c r="F64" s="5">
        <v>149.55000000000001</v>
      </c>
    </row>
    <row r="65" spans="1:6" x14ac:dyDescent="0.25">
      <c r="A65" s="2">
        <v>44853</v>
      </c>
      <c r="B65" s="1" t="s">
        <v>21</v>
      </c>
      <c r="C65" s="1" t="s">
        <v>6</v>
      </c>
      <c r="D65" s="5">
        <v>179.44</v>
      </c>
      <c r="E65" s="5">
        <v>0</v>
      </c>
      <c r="F65" s="5">
        <v>179.44</v>
      </c>
    </row>
    <row r="66" spans="1:6" x14ac:dyDescent="0.25">
      <c r="A66" s="2">
        <v>44860</v>
      </c>
      <c r="B66" s="1" t="s">
        <v>21</v>
      </c>
      <c r="C66" s="1" t="s">
        <v>6</v>
      </c>
      <c r="D66" s="5">
        <v>160.13999999999999</v>
      </c>
      <c r="E66" s="5">
        <v>0</v>
      </c>
      <c r="F66" s="5">
        <v>160.13999999999999</v>
      </c>
    </row>
    <row r="67" spans="1:6" x14ac:dyDescent="0.25">
      <c r="A67" s="2">
        <v>44867</v>
      </c>
      <c r="B67" s="1" t="s">
        <v>21</v>
      </c>
      <c r="C67" s="1" t="s">
        <v>6</v>
      </c>
      <c r="D67" s="5">
        <v>182.44</v>
      </c>
      <c r="E67" s="5">
        <v>0</v>
      </c>
      <c r="F67" s="5">
        <v>182.44</v>
      </c>
    </row>
    <row r="68" spans="1:6" x14ac:dyDescent="0.25">
      <c r="A68" s="2">
        <v>44874</v>
      </c>
      <c r="B68" s="1" t="s">
        <v>21</v>
      </c>
      <c r="C68" s="1" t="s">
        <v>6</v>
      </c>
      <c r="D68" s="5">
        <v>184.02</v>
      </c>
      <c r="E68" s="5">
        <v>0</v>
      </c>
      <c r="F68" s="5">
        <v>184.02</v>
      </c>
    </row>
    <row r="69" spans="1:6" x14ac:dyDescent="0.25">
      <c r="A69" s="2">
        <v>44874</v>
      </c>
      <c r="B69" s="1" t="s">
        <v>43</v>
      </c>
      <c r="C69" s="1" t="s">
        <v>22</v>
      </c>
      <c r="D69" s="5">
        <v>150</v>
      </c>
      <c r="E69" s="5">
        <v>-4.49</v>
      </c>
      <c r="F69" s="5">
        <v>145.51</v>
      </c>
    </row>
    <row r="70" spans="1:6" x14ac:dyDescent="0.25">
      <c r="A70" s="2">
        <v>44876</v>
      </c>
      <c r="B70" s="1" t="s">
        <v>44</v>
      </c>
      <c r="C70" s="1" t="s">
        <v>23</v>
      </c>
      <c r="D70" s="5">
        <v>50</v>
      </c>
      <c r="E70" s="5">
        <v>-1.5</v>
      </c>
      <c r="F70" s="5">
        <v>48.5</v>
      </c>
    </row>
    <row r="71" spans="1:6" x14ac:dyDescent="0.25">
      <c r="A71" s="2">
        <v>44881</v>
      </c>
      <c r="B71" s="1" t="s">
        <v>21</v>
      </c>
      <c r="C71" s="1" t="s">
        <v>6</v>
      </c>
      <c r="D71" s="5">
        <v>213.8</v>
      </c>
      <c r="E71" s="5">
        <v>0</v>
      </c>
      <c r="F71" s="5">
        <v>213.8</v>
      </c>
    </row>
    <row r="72" spans="1:6" x14ac:dyDescent="0.25">
      <c r="A72" s="2">
        <v>44881</v>
      </c>
      <c r="B72" s="1" t="s">
        <v>45</v>
      </c>
      <c r="C72" s="1" t="s">
        <v>26</v>
      </c>
      <c r="D72" s="5">
        <v>25</v>
      </c>
      <c r="E72" s="5">
        <v>0</v>
      </c>
      <c r="F72" s="5">
        <v>25</v>
      </c>
    </row>
    <row r="73" spans="1:6" x14ac:dyDescent="0.25">
      <c r="A73" s="2">
        <v>44882</v>
      </c>
      <c r="B73" s="1" t="s">
        <v>45</v>
      </c>
      <c r="C73" s="1" t="s">
        <v>26</v>
      </c>
      <c r="D73" s="5">
        <v>70</v>
      </c>
      <c r="E73" s="5">
        <v>0</v>
      </c>
      <c r="F73" s="5">
        <v>70</v>
      </c>
    </row>
    <row r="74" spans="1:6" x14ac:dyDescent="0.25">
      <c r="A74" s="2">
        <v>44888</v>
      </c>
      <c r="B74" s="1" t="s">
        <v>21</v>
      </c>
      <c r="C74" s="1" t="s">
        <v>6</v>
      </c>
      <c r="D74" s="5">
        <v>168.96</v>
      </c>
      <c r="E74" s="5">
        <v>0</v>
      </c>
      <c r="F74" s="5">
        <v>168.96</v>
      </c>
    </row>
    <row r="75" spans="1:6" x14ac:dyDescent="0.25">
      <c r="A75" s="2">
        <v>44895</v>
      </c>
      <c r="B75" s="1" t="s">
        <v>21</v>
      </c>
      <c r="C75" s="1" t="s">
        <v>6</v>
      </c>
      <c r="D75" s="5">
        <v>149.53</v>
      </c>
      <c r="E75" s="5">
        <v>0</v>
      </c>
      <c r="F75" s="5">
        <v>149.53</v>
      </c>
    </row>
    <row r="76" spans="1:6" x14ac:dyDescent="0.25">
      <c r="A76" s="2">
        <v>44902</v>
      </c>
      <c r="B76" s="1" t="s">
        <v>21</v>
      </c>
      <c r="C76" s="1" t="s">
        <v>6</v>
      </c>
      <c r="D76" s="5">
        <v>116.62</v>
      </c>
      <c r="E76" s="5">
        <v>0</v>
      </c>
      <c r="F76" s="5">
        <v>116.62</v>
      </c>
    </row>
    <row r="77" spans="1:6" x14ac:dyDescent="0.25">
      <c r="A77" s="2">
        <v>44909</v>
      </c>
      <c r="B77" s="1" t="s">
        <v>21</v>
      </c>
      <c r="C77" s="1" t="s">
        <v>6</v>
      </c>
      <c r="D77" s="5">
        <v>179.45</v>
      </c>
      <c r="E77" s="5">
        <v>0</v>
      </c>
      <c r="F77" s="5">
        <v>179.45</v>
      </c>
    </row>
    <row r="78" spans="1:6" x14ac:dyDescent="0.25">
      <c r="A78" s="2">
        <v>44916</v>
      </c>
      <c r="B78" s="1" t="s">
        <v>21</v>
      </c>
      <c r="C78" s="1" t="s">
        <v>6</v>
      </c>
      <c r="D78" s="5">
        <v>85.25</v>
      </c>
      <c r="E78" s="5">
        <v>0</v>
      </c>
      <c r="F78" s="5">
        <v>85.25</v>
      </c>
    </row>
    <row r="79" spans="1:6" x14ac:dyDescent="0.25">
      <c r="A79" s="2">
        <v>44923</v>
      </c>
      <c r="B79" s="1" t="s">
        <v>21</v>
      </c>
      <c r="C79" s="1" t="s">
        <v>6</v>
      </c>
      <c r="D79" s="5">
        <v>130.24</v>
      </c>
      <c r="E79" s="5">
        <v>0</v>
      </c>
      <c r="F79" s="5">
        <v>130.24</v>
      </c>
    </row>
    <row r="82" spans="3:6" x14ac:dyDescent="0.25">
      <c r="C82" s="3" t="s">
        <v>17</v>
      </c>
      <c r="D82" s="5">
        <f>SUM(D2:D79)</f>
        <v>14238.980000000001</v>
      </c>
      <c r="E82" s="5">
        <f t="shared" ref="E82:F82" si="0">SUM(E2:E79)</f>
        <v>-56.43</v>
      </c>
      <c r="F82" s="5">
        <f t="shared" si="0"/>
        <v>14182.549999999997</v>
      </c>
    </row>
  </sheetData>
  <printOptions gridLines="1"/>
  <pageMargins left="0.7" right="0.7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Sales</vt:lpstr>
      <vt:lpstr>eBay Sales</vt:lpstr>
      <vt:lpstr>PayPal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Ludwig, Rob</dc:creator>
  <cp:lastModifiedBy>Ludwig, Rob</cp:lastModifiedBy>
  <cp:lastPrinted>2022-03-20T16:31:17Z</cp:lastPrinted>
  <dcterms:created xsi:type="dcterms:W3CDTF">2019-02-06T16:10:21Z</dcterms:created>
  <dcterms:modified xsi:type="dcterms:W3CDTF">2023-03-02T16:56:19Z</dcterms:modified>
</cp:coreProperties>
</file>
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130"/>
  <workbookPr/>
  <mc:AlternateContent xmlns:mc="http://schemas.openxmlformats.org/markup-compatibility/2006">
    <mc:Choice Requires="x15">
      <x15ac:absPath xmlns:x15ac="http://schemas.microsoft.com/office/spreadsheetml/2010/11/ac" url="C:\Users\rl43340\Downloads\"/>
    </mc:Choice>
  </mc:AlternateContent>
  <xr:revisionPtr revIDLastSave="0" documentId="13_ncr:1_{844EE3DD-A56B-4E19-B290-D2A2044F94D8}" xr6:coauthVersionLast="47" xr6:coauthVersionMax="47" xr10:uidLastSave="{00000000-0000-0000-0000-000000000000}"/>
  <bookViews>
    <workbookView xWindow="-98" yWindow="-98" windowWidth="28996" windowHeight="15796" tabRatio="684" xr2:uid="{00000000-000D-0000-FFFF-FFFF00000000}"/>
  </bookViews>
  <sheets>
    <sheet name="Total Expenses" sheetId="6" r:id="rId1"/>
    <sheet name="Items Bought for Resale" sheetId="3" r:id="rId2"/>
    <sheet name="eBay Store Fees" sheetId="4" r:id="rId3"/>
    <sheet name="eBay Selling Fees And Refunds" sheetId="10" r:id="rId4"/>
    <sheet name="Shipping costs" sheetId="2" r:id="rId5"/>
    <sheet name="Shipping supplies" sheetId="5" r:id="rId6"/>
    <sheet name="Mileage" sheetId="9" r:id="rId7"/>
    <sheet name="Internet" sheetId="8" r:id="rId8"/>
    <sheet name="Phone" sheetId="7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H547" i="10" l="1"/>
  <c r="H546" i="10"/>
  <c r="H545" i="10"/>
  <c r="H544" i="10"/>
  <c r="H543" i="10"/>
  <c r="H542" i="10"/>
  <c r="H541" i="10"/>
  <c r="H540" i="10"/>
  <c r="H539" i="10"/>
  <c r="H538" i="10"/>
  <c r="H537" i="10"/>
  <c r="H536" i="10"/>
  <c r="H535" i="10"/>
  <c r="H534" i="10"/>
  <c r="H533" i="10"/>
  <c r="H532" i="10"/>
  <c r="H531" i="10"/>
  <c r="H530" i="10"/>
  <c r="H529" i="10"/>
  <c r="H528" i="10"/>
  <c r="H527" i="10"/>
  <c r="H526" i="10"/>
  <c r="H525" i="10"/>
  <c r="H524" i="10"/>
  <c r="H523" i="10"/>
  <c r="H522" i="10"/>
  <c r="H521" i="10"/>
  <c r="H520" i="10"/>
  <c r="H519" i="10"/>
  <c r="H518" i="10"/>
  <c r="H517" i="10"/>
  <c r="H516" i="10"/>
  <c r="H515" i="10"/>
  <c r="H514" i="10"/>
  <c r="H513" i="10"/>
  <c r="H512" i="10"/>
  <c r="H511" i="10"/>
  <c r="H510" i="10"/>
  <c r="H509" i="10"/>
  <c r="H508" i="10"/>
  <c r="H507" i="10"/>
  <c r="H506" i="10"/>
  <c r="H505" i="10"/>
  <c r="H504" i="10"/>
  <c r="H503" i="10"/>
  <c r="H502" i="10"/>
  <c r="H501" i="10"/>
  <c r="H500" i="10"/>
  <c r="H499" i="10"/>
  <c r="H498" i="10"/>
  <c r="H497" i="10"/>
  <c r="H496" i="10"/>
  <c r="H495" i="10"/>
  <c r="H494" i="10"/>
  <c r="H493" i="10"/>
  <c r="H492" i="10"/>
  <c r="H491" i="10"/>
  <c r="H490" i="10"/>
  <c r="H489" i="10"/>
  <c r="H488" i="10"/>
  <c r="H487" i="10"/>
  <c r="H486" i="10"/>
  <c r="H485" i="10"/>
  <c r="H484" i="10"/>
  <c r="H483" i="10"/>
  <c r="H482" i="10"/>
  <c r="H481" i="10"/>
  <c r="H480" i="10"/>
  <c r="H479" i="10"/>
  <c r="H478" i="10"/>
  <c r="H477" i="10"/>
  <c r="H476" i="10"/>
  <c r="H475" i="10"/>
  <c r="H474" i="10"/>
  <c r="H473" i="10"/>
  <c r="H472" i="10"/>
  <c r="H471" i="10"/>
  <c r="H470" i="10"/>
  <c r="H469" i="10"/>
  <c r="H468" i="10"/>
  <c r="H467" i="10"/>
  <c r="H466" i="10"/>
  <c r="H465" i="10"/>
  <c r="H464" i="10"/>
  <c r="H463" i="10"/>
  <c r="H462" i="10"/>
  <c r="H461" i="10"/>
  <c r="H460" i="10"/>
  <c r="H459" i="10"/>
  <c r="H458" i="10"/>
  <c r="H457" i="10"/>
  <c r="H456" i="10"/>
  <c r="H455" i="10"/>
  <c r="H454" i="10"/>
  <c r="H453" i="10"/>
  <c r="H452" i="10"/>
  <c r="H451" i="10"/>
  <c r="H450" i="10"/>
  <c r="H449" i="10"/>
  <c r="H448" i="10"/>
  <c r="H447" i="10"/>
  <c r="H446" i="10"/>
  <c r="H445" i="10"/>
  <c r="H444" i="10"/>
  <c r="H443" i="10"/>
  <c r="H442" i="10"/>
  <c r="H441" i="10"/>
  <c r="H440" i="10"/>
  <c r="H439" i="10"/>
  <c r="H438" i="10"/>
  <c r="H437" i="10"/>
  <c r="H436" i="10"/>
  <c r="H435" i="10"/>
  <c r="H434" i="10"/>
  <c r="H433" i="10"/>
  <c r="H432" i="10"/>
  <c r="H431" i="10"/>
  <c r="H430" i="10"/>
  <c r="H429" i="10"/>
  <c r="H428" i="10"/>
  <c r="H427" i="10"/>
  <c r="H426" i="10"/>
  <c r="H425" i="10"/>
  <c r="H424" i="10"/>
  <c r="H423" i="10"/>
  <c r="H422" i="10"/>
  <c r="H421" i="10"/>
  <c r="H420" i="10"/>
  <c r="H419" i="10"/>
  <c r="H418" i="10"/>
  <c r="H417" i="10"/>
  <c r="H416" i="10"/>
  <c r="H415" i="10"/>
  <c r="H414" i="10"/>
  <c r="H413" i="10"/>
  <c r="H412" i="10"/>
  <c r="H411" i="10"/>
  <c r="H410" i="10"/>
  <c r="H409" i="10"/>
  <c r="H408" i="10"/>
  <c r="H407" i="10"/>
  <c r="H406" i="10"/>
  <c r="H405" i="10"/>
  <c r="H404" i="10"/>
  <c r="H403" i="10"/>
  <c r="H402" i="10"/>
  <c r="H401" i="10"/>
  <c r="H400" i="10"/>
  <c r="H399" i="10"/>
  <c r="H398" i="10"/>
  <c r="H397" i="10"/>
  <c r="H396" i="10"/>
  <c r="H395" i="10"/>
  <c r="H394" i="10"/>
  <c r="H393" i="10"/>
  <c r="H392" i="10"/>
  <c r="H391" i="10"/>
  <c r="H390" i="10"/>
  <c r="H389" i="10"/>
  <c r="H388" i="10"/>
  <c r="H387" i="10"/>
  <c r="H386" i="10"/>
  <c r="H385" i="10"/>
  <c r="H384" i="10"/>
  <c r="H383" i="10"/>
  <c r="H382" i="10"/>
  <c r="H381" i="10"/>
  <c r="H380" i="10"/>
  <c r="H379" i="10"/>
  <c r="H378" i="10"/>
  <c r="H377" i="10"/>
  <c r="H376" i="10"/>
  <c r="H375" i="10"/>
  <c r="H374" i="10"/>
  <c r="H373" i="10"/>
  <c r="H372" i="10"/>
  <c r="H371" i="10"/>
  <c r="H370" i="10"/>
  <c r="H369" i="10"/>
  <c r="H368" i="10"/>
  <c r="H367" i="10"/>
  <c r="H366" i="10"/>
  <c r="H365" i="10"/>
  <c r="H364" i="10"/>
  <c r="H363" i="10"/>
  <c r="H362" i="10"/>
  <c r="H361" i="10"/>
  <c r="H360" i="10"/>
  <c r="H359" i="10"/>
  <c r="H358" i="10"/>
  <c r="H357" i="10"/>
  <c r="H356" i="10"/>
  <c r="H355" i="10"/>
  <c r="H354" i="10"/>
  <c r="H353" i="10"/>
  <c r="H352" i="10"/>
  <c r="H351" i="10"/>
  <c r="H350" i="10"/>
  <c r="H349" i="10"/>
  <c r="H348" i="10"/>
  <c r="H347" i="10"/>
  <c r="H346" i="10"/>
  <c r="H345" i="10"/>
  <c r="H344" i="10"/>
  <c r="H343" i="10"/>
  <c r="H342" i="10"/>
  <c r="H341" i="10"/>
  <c r="H340" i="10"/>
  <c r="H339" i="10"/>
  <c r="H338" i="10"/>
  <c r="H337" i="10"/>
  <c r="H336" i="10"/>
  <c r="H335" i="10"/>
  <c r="H334" i="10"/>
  <c r="H333" i="10"/>
  <c r="H332" i="10"/>
  <c r="H331" i="10"/>
  <c r="H330" i="10"/>
  <c r="H329" i="10"/>
  <c r="H328" i="10"/>
  <c r="H327" i="10"/>
  <c r="H326" i="10"/>
  <c r="H325" i="10"/>
  <c r="H324" i="10"/>
  <c r="H323" i="10"/>
  <c r="H322" i="10"/>
  <c r="H321" i="10"/>
  <c r="H320" i="10"/>
  <c r="H319" i="10"/>
  <c r="H318" i="10"/>
  <c r="H317" i="10"/>
  <c r="H316" i="10"/>
  <c r="H315" i="10"/>
  <c r="H314" i="10"/>
  <c r="H313" i="10"/>
  <c r="H312" i="10"/>
  <c r="H311" i="10"/>
  <c r="H310" i="10"/>
  <c r="H309" i="10"/>
  <c r="H308" i="10"/>
  <c r="H307" i="10"/>
  <c r="H306" i="10"/>
  <c r="H305" i="10"/>
  <c r="H304" i="10"/>
  <c r="H303" i="10"/>
  <c r="H302" i="10"/>
  <c r="H301" i="10"/>
  <c r="H300" i="10"/>
  <c r="H299" i="10"/>
  <c r="H298" i="10"/>
  <c r="H297" i="10"/>
  <c r="H296" i="10"/>
  <c r="H295" i="10"/>
  <c r="H294" i="10"/>
  <c r="H293" i="10"/>
  <c r="H292" i="10"/>
  <c r="H291" i="10"/>
  <c r="H290" i="10"/>
  <c r="H289" i="10"/>
  <c r="H288" i="10"/>
  <c r="H287" i="10"/>
  <c r="H286" i="10"/>
  <c r="H285" i="10"/>
  <c r="H284" i="10"/>
  <c r="H283" i="10"/>
  <c r="H282" i="10"/>
  <c r="H281" i="10"/>
  <c r="H280" i="10"/>
  <c r="H279" i="10"/>
  <c r="H278" i="10"/>
  <c r="H277" i="10"/>
  <c r="H276" i="10"/>
  <c r="H275" i="10"/>
  <c r="H274" i="10"/>
  <c r="H273" i="10"/>
  <c r="H272" i="10"/>
  <c r="H271" i="10"/>
  <c r="H270" i="10"/>
  <c r="H269" i="10"/>
  <c r="H268" i="10"/>
  <c r="H267" i="10"/>
  <c r="H266" i="10"/>
  <c r="H265" i="10"/>
  <c r="H264" i="10"/>
  <c r="H263" i="10"/>
  <c r="H262" i="10"/>
  <c r="H261" i="10"/>
  <c r="H260" i="10"/>
  <c r="H259" i="10"/>
  <c r="H258" i="10"/>
  <c r="H257" i="10"/>
  <c r="H256" i="10"/>
  <c r="H255" i="10"/>
  <c r="H254" i="10"/>
  <c r="H253" i="10"/>
  <c r="H252" i="10"/>
  <c r="H251" i="10"/>
  <c r="H250" i="10"/>
  <c r="H249" i="10"/>
  <c r="H248" i="10"/>
  <c r="H247" i="10"/>
  <c r="H246" i="10"/>
  <c r="H245" i="10"/>
  <c r="H244" i="10"/>
  <c r="H243" i="10"/>
  <c r="H242" i="10"/>
  <c r="H241" i="10"/>
  <c r="H240" i="10"/>
  <c r="H239" i="10"/>
  <c r="H238" i="10"/>
  <c r="H237" i="10"/>
  <c r="H236" i="10"/>
  <c r="H235" i="10"/>
  <c r="H234" i="10"/>
  <c r="H233" i="10"/>
  <c r="H232" i="10"/>
  <c r="H231" i="10"/>
  <c r="H230" i="10"/>
  <c r="H229" i="10"/>
  <c r="H228" i="10"/>
  <c r="H227" i="10"/>
  <c r="H226" i="10"/>
  <c r="H225" i="10"/>
  <c r="H224" i="10"/>
  <c r="H223" i="10"/>
  <c r="H222" i="10"/>
  <c r="H221" i="10"/>
  <c r="H220" i="10"/>
  <c r="H219" i="10"/>
  <c r="H218" i="10"/>
  <c r="H217" i="10"/>
  <c r="H216" i="10"/>
  <c r="H215" i="10"/>
  <c r="H214" i="10"/>
  <c r="H213" i="10"/>
  <c r="H212" i="10"/>
  <c r="H211" i="10"/>
  <c r="H210" i="10"/>
  <c r="H209" i="10"/>
  <c r="H208" i="10"/>
  <c r="H207" i="10"/>
  <c r="H206" i="10"/>
  <c r="H205" i="10"/>
  <c r="H204" i="10"/>
  <c r="H203" i="10"/>
  <c r="H202" i="10"/>
  <c r="H201" i="10"/>
  <c r="H200" i="10"/>
  <c r="H199" i="10"/>
  <c r="H198" i="10"/>
  <c r="H197" i="10"/>
  <c r="H196" i="10"/>
  <c r="H195" i="10"/>
  <c r="H194" i="10"/>
  <c r="H193" i="10"/>
  <c r="H192" i="10"/>
  <c r="H191" i="10"/>
  <c r="H190" i="10"/>
  <c r="H189" i="10"/>
  <c r="H188" i="10"/>
  <c r="H187" i="10"/>
  <c r="H186" i="10"/>
  <c r="H185" i="10"/>
  <c r="H184" i="10"/>
  <c r="H183" i="10"/>
  <c r="H182" i="10"/>
  <c r="H181" i="10"/>
  <c r="H180" i="10"/>
  <c r="H179" i="10"/>
  <c r="H178" i="10"/>
  <c r="H177" i="10"/>
  <c r="H176" i="10"/>
  <c r="H175" i="10"/>
  <c r="H174" i="10"/>
  <c r="H173" i="10"/>
  <c r="H172" i="10"/>
  <c r="H171" i="10"/>
  <c r="H170" i="10"/>
  <c r="H169" i="10"/>
  <c r="H168" i="10"/>
  <c r="H167" i="10"/>
  <c r="H166" i="10"/>
  <c r="H165" i="10"/>
  <c r="H164" i="10"/>
  <c r="H163" i="10"/>
  <c r="H162" i="10"/>
  <c r="H161" i="10"/>
  <c r="H160" i="10"/>
  <c r="H159" i="10"/>
  <c r="H158" i="10"/>
  <c r="H157" i="10"/>
  <c r="H156" i="10"/>
  <c r="H155" i="10"/>
  <c r="H154" i="10"/>
  <c r="H153" i="10"/>
  <c r="H152" i="10"/>
  <c r="H151" i="10"/>
  <c r="H150" i="10"/>
  <c r="H149" i="10"/>
  <c r="H148" i="10"/>
  <c r="H147" i="10"/>
  <c r="H146" i="10"/>
  <c r="H145" i="10"/>
  <c r="H144" i="10"/>
  <c r="H143" i="10"/>
  <c r="H142" i="10"/>
  <c r="H141" i="10"/>
  <c r="H140" i="10"/>
  <c r="H139" i="10"/>
  <c r="H138" i="10"/>
  <c r="H137" i="10"/>
  <c r="H136" i="10"/>
  <c r="H135" i="10"/>
  <c r="H134" i="10"/>
  <c r="H133" i="10"/>
  <c r="H132" i="10"/>
  <c r="H131" i="10"/>
  <c r="H130" i="10"/>
  <c r="H129" i="10"/>
  <c r="H128" i="10"/>
  <c r="H127" i="10"/>
  <c r="H126" i="10"/>
  <c r="H125" i="10"/>
  <c r="H124" i="10"/>
  <c r="H123" i="10"/>
  <c r="H122" i="10"/>
  <c r="H121" i="10"/>
  <c r="H120" i="10"/>
  <c r="H119" i="10"/>
  <c r="H118" i="10"/>
  <c r="H117" i="10"/>
  <c r="H116" i="10"/>
  <c r="H115" i="10"/>
  <c r="H114" i="10"/>
  <c r="H113" i="10"/>
  <c r="H112" i="10"/>
  <c r="H111" i="10"/>
  <c r="H110" i="10"/>
  <c r="H109" i="10"/>
  <c r="H108" i="10"/>
  <c r="H107" i="10"/>
  <c r="H106" i="10"/>
  <c r="H105" i="10"/>
  <c r="H104" i="10"/>
  <c r="H103" i="10"/>
  <c r="H102" i="10"/>
  <c r="H101" i="10"/>
  <c r="H100" i="10"/>
  <c r="H99" i="10"/>
  <c r="H98" i="10"/>
  <c r="H97" i="10"/>
  <c r="H96" i="10"/>
  <c r="H95" i="10"/>
  <c r="H94" i="10"/>
  <c r="H93" i="10"/>
  <c r="H92" i="10"/>
  <c r="H91" i="10"/>
  <c r="H90" i="10"/>
  <c r="H89" i="10"/>
  <c r="H88" i="10"/>
  <c r="H87" i="10"/>
  <c r="H86" i="10"/>
  <c r="H85" i="10"/>
  <c r="H84" i="10"/>
  <c r="H83" i="10"/>
  <c r="H82" i="10"/>
  <c r="H81" i="10"/>
  <c r="H80" i="10"/>
  <c r="H79" i="10"/>
  <c r="H78" i="10"/>
  <c r="H77" i="10"/>
  <c r="H76" i="10"/>
  <c r="H75" i="10"/>
  <c r="H74" i="10"/>
  <c r="H73" i="10"/>
  <c r="H72" i="10"/>
  <c r="H71" i="10"/>
  <c r="H70" i="10"/>
  <c r="H69" i="10"/>
  <c r="H68" i="10"/>
  <c r="H67" i="10"/>
  <c r="H66" i="10"/>
  <c r="H65" i="10"/>
  <c r="H64" i="10"/>
  <c r="H63" i="10"/>
  <c r="H62" i="10"/>
  <c r="H61" i="10"/>
  <c r="H60" i="10"/>
  <c r="H59" i="10"/>
  <c r="H58" i="10"/>
  <c r="H57" i="10"/>
  <c r="H56" i="10"/>
  <c r="H55" i="10"/>
  <c r="H54" i="10"/>
  <c r="H53" i="10"/>
  <c r="H52" i="10"/>
  <c r="H51" i="10"/>
  <c r="H50" i="10"/>
  <c r="H49" i="10"/>
  <c r="H48" i="10"/>
  <c r="H47" i="10"/>
  <c r="H46" i="10"/>
  <c r="H45" i="10"/>
  <c r="H44" i="10"/>
  <c r="H43" i="10"/>
  <c r="H42" i="10"/>
  <c r="H41" i="10"/>
  <c r="H40" i="10"/>
  <c r="H39" i="10"/>
  <c r="H38" i="10"/>
  <c r="H37" i="10"/>
  <c r="H36" i="10"/>
  <c r="H35" i="10"/>
  <c r="H34" i="10"/>
  <c r="H33" i="10"/>
  <c r="H32" i="10"/>
  <c r="H31" i="10"/>
  <c r="H30" i="10"/>
  <c r="H29" i="10"/>
  <c r="H28" i="10"/>
  <c r="H27" i="10"/>
  <c r="H26" i="10"/>
  <c r="H25" i="10"/>
  <c r="H24" i="10"/>
  <c r="H23" i="10"/>
  <c r="H22" i="10"/>
  <c r="H21" i="10"/>
  <c r="H20" i="10"/>
  <c r="H19" i="10"/>
  <c r="H18" i="10"/>
  <c r="H17" i="10"/>
  <c r="H16" i="10"/>
  <c r="H15" i="10"/>
  <c r="H14" i="10"/>
  <c r="H13" i="10"/>
  <c r="H12" i="10"/>
  <c r="H11" i="10"/>
  <c r="H10" i="10"/>
  <c r="H9" i="10"/>
  <c r="H8" i="10"/>
  <c r="H7" i="10"/>
  <c r="H6" i="10"/>
  <c r="H5" i="10"/>
  <c r="H4" i="10"/>
  <c r="H3" i="10"/>
  <c r="H2" i="10"/>
  <c r="E549" i="10"/>
  <c r="F549" i="10"/>
  <c r="G549" i="10"/>
  <c r="B8" i="6" s="1"/>
  <c r="D549" i="10"/>
  <c r="B10" i="6"/>
  <c r="C519" i="2"/>
  <c r="F8" i="9"/>
  <c r="F9" i="9"/>
  <c r="F10" i="9"/>
  <c r="F11" i="9"/>
  <c r="F12" i="9"/>
  <c r="F13" i="9"/>
  <c r="F14" i="9"/>
  <c r="D16" i="3"/>
  <c r="E16" i="3"/>
  <c r="C16" i="3"/>
  <c r="F3" i="9"/>
  <c r="F4" i="9"/>
  <c r="F5" i="9"/>
  <c r="F6" i="9"/>
  <c r="F7" i="9"/>
  <c r="F2" i="9"/>
  <c r="B6" i="6" l="1"/>
  <c r="H549" i="10"/>
  <c r="F16" i="9"/>
  <c r="B14" i="6" s="1"/>
  <c r="B2" i="6" l="1"/>
  <c r="B18" i="6"/>
  <c r="B16" i="6"/>
  <c r="C15" i="7" l="1"/>
  <c r="C15" i="8"/>
  <c r="D16" i="9" l="1"/>
  <c r="C12" i="5" l="1"/>
  <c r="B12" i="6" s="1"/>
  <c r="D15" i="4"/>
  <c r="E15" i="4"/>
  <c r="B4" i="6" s="1"/>
  <c r="C15" i="4"/>
  <c r="B20" i="6" l="1"/>
</calcChain>
</file>

<file path=xl/sharedStrings.xml><?xml version="1.0" encoding="utf-8"?>
<sst xmlns="http://schemas.openxmlformats.org/spreadsheetml/2006/main" count="1746" uniqueCount="523">
  <si>
    <t>Date</t>
  </si>
  <si>
    <t>Name</t>
  </si>
  <si>
    <t>Type</t>
  </si>
  <si>
    <t>Gross</t>
  </si>
  <si>
    <t>Fee</t>
  </si>
  <si>
    <t>Net</t>
  </si>
  <si>
    <t>TOTAL:</t>
  </si>
  <si>
    <t>1 month internet</t>
  </si>
  <si>
    <t>1 month phone bill with data</t>
  </si>
  <si>
    <t>Items Bought for Resale</t>
  </si>
  <si>
    <t>Shipping Costs</t>
  </si>
  <si>
    <t>Mileage</t>
  </si>
  <si>
    <t>Shipping Supplies</t>
  </si>
  <si>
    <t>Internet</t>
  </si>
  <si>
    <t>Phone</t>
  </si>
  <si>
    <t>Total Expenses</t>
  </si>
  <si>
    <t>Location</t>
  </si>
  <si>
    <t>Miles Driven</t>
  </si>
  <si>
    <t>Rockford, IL</t>
  </si>
  <si>
    <t>Store (Basic): Subscription Fee</t>
  </si>
  <si>
    <t>Yamaha Blaster 200 Front Fender Bracket 1988-2006 Stay Make Offer</t>
  </si>
  <si>
    <t>Yamaha Blaster 200 OEM Reed Valve 1988-2006 Reeds Intake Joint Carburetor Boot</t>
  </si>
  <si>
    <t>Sale Date</t>
  </si>
  <si>
    <t>eBay Selling Fees</t>
  </si>
  <si>
    <t>eBay Store Fees</t>
  </si>
  <si>
    <t>Description</t>
  </si>
  <si>
    <t>Gross Refund</t>
  </si>
  <si>
    <t>Yamaha Blaster 200 OEM Complete Clutch 1988-2006 Basket Boss Make Offer</t>
  </si>
  <si>
    <t>Yamaha Blaster 200 OEM Flywheel 1988-2006 Rotor Fly Wheel Magneto Make Offer</t>
  </si>
  <si>
    <t>Yamaha Blaster 200 OEM Rear Axle Hubs 1988-2006 Right Left Collar Make Offer</t>
  </si>
  <si>
    <t>Yamaha Blaster 200 Steering Stem 1988-2002 Shaft Post Make Offer</t>
  </si>
  <si>
    <t>Honda TRX250EX OEM Cylinder 2001-2020 Core Stock Bore 68.5MM TRX250X Make Offer</t>
  </si>
  <si>
    <t>Honda Recon 250 Muffler Mounts 1997-2020 Rubber TRX250EX Make Offer</t>
  </si>
  <si>
    <t>Yamaha Blaster 200 Stator Cover 1988-2006 Left Side Magneto Flywheel Make Offer</t>
  </si>
  <si>
    <t>Yamaha Blaster 200 OEM Clutch Lever Cable 1988-2002 Make Offer</t>
  </si>
  <si>
    <t>Yamaha Blaster 200 Headlight 1988-2002 Glass Lens Guard Make Offer</t>
  </si>
  <si>
    <t>Yamaha Blaster 200 Handlebar Cover 1988-2002 Ignition Keys Protector Make Offer</t>
  </si>
  <si>
    <t>Yamaha Blaster 200 OEM Front Bumper 1988-2006 Carry Bar Make Offer</t>
  </si>
  <si>
    <t>Yamaha Blaster 200 OEM Crankshaft 1988-2006 Crank Gears Balancer Make Offer</t>
  </si>
  <si>
    <t>Yamaha Blaster 200 OEM Cylinder Head 1988-2006 Dome Make Offer</t>
  </si>
  <si>
    <t>Yamaha Blaster 200 Transmission 1988-2006 Gears Forks Shift Drum Make Offer</t>
  </si>
  <si>
    <t>Yamaha Blaster 200 OEM Rear Shock 1988-2006 Strut Yellow Make Offer</t>
  </si>
  <si>
    <t>Yamaha Blaster 200 Miscellaneous Bolt Lot 1988-2006 Hardware Bolts Make Offer</t>
  </si>
  <si>
    <t>Yamaha Blaster 200 Front Hubs Drums 1988-2002 Wheels Spindles Make Offer</t>
  </si>
  <si>
    <t>Yamaha Blaster 200 Kick Start Ratchet 1988-2006 Kickstarter Gear Spring Idle</t>
  </si>
  <si>
    <t>Yamaha Blaster 200 Crankcase All Years Crank Case Engine Cases Motor Left Right</t>
  </si>
  <si>
    <t>Yamaha Blaster 200 OEM Swingarm Pivot Bolt 1988-2006 Shaft Make Offer</t>
  </si>
  <si>
    <t>Honda ATC110 Intake Manifold 1979-1985 Carburetor Inlet Pipe ATC 110 Make Offer</t>
  </si>
  <si>
    <t>Yamaha Blaster 200 Oil Injection Tank 1988-2006 Guard Gauge Lid Make Offer</t>
  </si>
  <si>
    <t>Yamaha Blaster 200 OEM Tie Rods 1988-2006 Ends Left Right Make Offer</t>
  </si>
  <si>
    <t>eBay Refunds</t>
  </si>
  <si>
    <t>Cost</t>
  </si>
  <si>
    <t>Sterling, IL</t>
  </si>
  <si>
    <t>Mileage Rate</t>
  </si>
  <si>
    <t>Calculated</t>
  </si>
  <si>
    <t>1986 Honda Fourtrax 250 ATV for parts</t>
  </si>
  <si>
    <t>2003 Yamaha Blaster 200 ATV for parts</t>
  </si>
  <si>
    <t>2000 Yamaha Blaster 200 ATV for parts</t>
  </si>
  <si>
    <t>Yamaha Blaster ATV parts lot</t>
  </si>
  <si>
    <t>1981 Yamaha YT125 ATV for parts</t>
  </si>
  <si>
    <t>1999 Polaris Scrambler 400 ATV for parts</t>
  </si>
  <si>
    <t>1995 Kawasaki Bayou 400 ATV for parts</t>
  </si>
  <si>
    <t>Honda TRX300ex parts lot</t>
  </si>
  <si>
    <t>Polaris Scrambler 400 ATV for parts</t>
  </si>
  <si>
    <t>1995 Honda Foreman 400 ATV for parts</t>
  </si>
  <si>
    <t>1994 Polaris 400L ATV for parts (#1)</t>
  </si>
  <si>
    <t>1994 Polaris 400L ATV for parts (#2)</t>
  </si>
  <si>
    <t>2001 Polaris Scrambler 400 ATV for parts</t>
  </si>
  <si>
    <t>Dakota, IL</t>
  </si>
  <si>
    <t>Manhattan, IL</t>
  </si>
  <si>
    <t>Cambridge, WI</t>
  </si>
  <si>
    <t>LaMoille, IL</t>
  </si>
  <si>
    <t>Rock Falls, IL</t>
  </si>
  <si>
    <t>Winnebago, IL</t>
  </si>
  <si>
    <t>Lanark, IL</t>
  </si>
  <si>
    <t>Roscoe, IL</t>
  </si>
  <si>
    <t>Palmyra, WI</t>
  </si>
  <si>
    <t>Shipping label</t>
  </si>
  <si>
    <t>Bubble wrap - Home Depot</t>
  </si>
  <si>
    <t>eBay branded packaging tape</t>
  </si>
  <si>
    <t>Bubble wrap - Wal-Mart</t>
  </si>
  <si>
    <t>eBay branded boxes 16x12x8</t>
  </si>
  <si>
    <t>Item Title</t>
  </si>
  <si>
    <t>Final Value Fee - Fixed</t>
  </si>
  <si>
    <t>Final Value Fee - Variable</t>
  </si>
  <si>
    <t>Order</t>
  </si>
  <si>
    <t>Yamaha Blaster 200 Rear Fender Heel Guard 1991-2006 Flap Make Offer</t>
  </si>
  <si>
    <t>Honda ATC110 Recoil Catch 1980-1986 ATC185S ATC200 Cage Pulley 4-Bolt</t>
  </si>
  <si>
    <t>Yamaha Blaster 200 Airbox Intake Boot 1988-2006 Joint Carburetor</t>
  </si>
  <si>
    <t>Yamaha Blaster 200 Rear Right Fender Bracket 1988-2006 Stay Make Offer</t>
  </si>
  <si>
    <t>Yamaha Blaster 200 OEM Carburetor 1988-2002 Mikuni Carb Make Offer</t>
  </si>
  <si>
    <t>Refund</t>
  </si>
  <si>
    <t>Yamaha Blaster 200 Pegs Heel Guards 1990-2002 Plate Footrest Right Left</t>
  </si>
  <si>
    <t>Yamaha Timberwolf 250 Starter Pulley Boss 1994 1995 Catch Make Offer</t>
  </si>
  <si>
    <t>Yamaha Blaster 200 OEM Kickstart Lever 1988-2006 Kick Starter Pedal Make Offer</t>
  </si>
  <si>
    <t>Yamaha Blaster 200 OEM Front Shocks 1988-2006 Struts Yellow Make Offer</t>
  </si>
  <si>
    <t>Yamaha Blaster 200 Rear Fender Heel Guards 1990-2006 Left Right Flap Make Offer</t>
  </si>
  <si>
    <t>Yamaha Blaster 200 Clutch Cover 1988-2006 Right Side Make Offer</t>
  </si>
  <si>
    <t>Yamaha Blaster 200 OEM Silencer 1988-2006 Pipe Muffler Make Offer</t>
  </si>
  <si>
    <t>Yamaha Blaster 200 Shift Shaft 1988-2006 Lever Foot Shifter Pedal Make Offer</t>
  </si>
  <si>
    <t>Polaris Predator 500 Oil Delivery Pipe 2003 2004 Hose Shaft Make Offer</t>
  </si>
  <si>
    <t>Suzuki RM-Z250 Factory Service Manual 2007 Repair Shop 99011-10H50-03A</t>
  </si>
  <si>
    <t>Yamaha Blaster 200 OEM Cylinder 66.75MM 1988-2006 Piston Make Offer</t>
  </si>
  <si>
    <t>Yamaha Blaster 200 Rear Brake Caliper 1988-2002 Mechanical Pads Make Offer</t>
  </si>
  <si>
    <t>Yamaha Blaster 200 OEM Expansion Chamber 1988-2006 Head Pipe Muffler Make Offer</t>
  </si>
  <si>
    <t>Yamaha Blaster 200 OEM Stator 1990-2002 Magneto Generator Base Make Offer</t>
  </si>
  <si>
    <t>Yamaha Blaster 200 OEM Front Brake Lever Cables 1988-2002 Splitter Parts Repair</t>
  </si>
  <si>
    <t>Yamaha Blaster 200 OEM Rear Axle Carrier 1988-2002 Hub Tube Make Offer</t>
  </si>
  <si>
    <t>Yamaha Blaster 200 Carburetor TORS Assembly 1996-2006 Unit Switch Make Offer</t>
  </si>
  <si>
    <t>Yamaha Blaster 200 Right Side A-Arms 1988-2002 Upper Lower Make Offer</t>
  </si>
  <si>
    <t>Kawasaki Mojave 250 Engine Cases 1987 1988 1989 Motor Left Right KSF250</t>
  </si>
  <si>
    <t>Yamaha Blaster 200 OEM Crankshaft Seal 1988-2006 Clutch Side Crank Make Offer</t>
  </si>
  <si>
    <t>Yamaha Blaster 200 OEM Wiring Harness 1988-2002 CDI Regulator TORS Make Offer</t>
  </si>
  <si>
    <t>Honda Swingarm Pivot Bolts Many Models Rancher Recon Foreman Fourtrax 300</t>
  </si>
  <si>
    <t>Honda ATC110 ATC90 Cylinder Head 1970-1985 Parts Or Repair Camshaft ATC 90 110</t>
  </si>
  <si>
    <t>Yamaha Warrior 350 OEM Mikuni Carburetor 1996-2004 Carb Make Offer</t>
  </si>
  <si>
    <t>Yamaha Warrior Banshee 350 Left Spindle 1990-2006 Front Knuckle Hub Make Offer</t>
  </si>
  <si>
    <t>Honda ATC200S OEM Keihin Carburetor 1984 1985 1986 PD85D ATC 185 200 Stock</t>
  </si>
  <si>
    <t>Yamaha Warrior 350 Combo Switch 1996-2001 Left Handle Kill On Off Lights Combo</t>
  </si>
  <si>
    <t>Honda Rancher 350 400 OEM Ignition Switch Key 2000-2007 Make Offer</t>
  </si>
  <si>
    <t>Honda TRX125 ATC125M NOS Piston Rings 1986-1988 54.25MM Fourtrax 125</t>
  </si>
  <si>
    <t>Yamaha Blaster 200 Gas Tank 1988-2006 Fuel Petcock Make Offer</t>
  </si>
  <si>
    <t>Honda ATC200 OEM Keihin Carburetor 1981 1982 1983 PD35C ATC 185 200 Stock</t>
  </si>
  <si>
    <t>Yamaha Warrior 350 OEM Rear Grab Bar 1996-2004 Bumper Make Offer</t>
  </si>
  <si>
    <t>Honda Fourtrax 250 Airbox Boot 1985 1986 1987 ATC250SX Carburetor Tube TRX250</t>
  </si>
  <si>
    <t>Honda Fourtrax 250 Airbox 1985 1986 1987 ATC250SX Air Box Lid Housing TRX250</t>
  </si>
  <si>
    <t>Yamaha Blaster 200 Airbox Intake Boot 1988-2006 Joint Carburetor Carb Make Offer</t>
  </si>
  <si>
    <t>Yamaha Blaster 200 Boyesen Rad Valve 1988-2006 Reeds Intake Carburetor Boot</t>
  </si>
  <si>
    <t>Honda ATC110 Chain Guard 1982 Case Cover Skid Plate ATC 110 Make Offer</t>
  </si>
  <si>
    <t>Yamaha Blaster 200 FMF PowerCore SST Silencer 1988-2006 Muffler Pipe Make Offer</t>
  </si>
  <si>
    <t>Yamaha Blaster 200 OEM Combo Switch 1988-2001 Lights Kill On Off Left Side</t>
  </si>
  <si>
    <t>Yamaha Blaster 200 Airbox Cover 1988-2006 Air Box Cleaner Case Cap Make Offer</t>
  </si>
  <si>
    <t>Yamaha Blaster 200 OEM Mikuni Carburetor 1988-2006 Carb No TORS</t>
  </si>
  <si>
    <t>Yamaha Blaster 200 OEM Mikuni Carburetor 1988-2006 Carb TORS Switch Make Offer</t>
  </si>
  <si>
    <t>Yamaha Blaster 200 OEM Rear Shock 1988-2006 Strut Red Suspension Make Offer</t>
  </si>
  <si>
    <t>Yamaha Blaster 200 Airbox Intake Boot 1988-2006 K&amp;N Filter Joint Carburetor Carb</t>
  </si>
  <si>
    <t>Yamaha Warrior 350 Upper Right A-Arm 1989-2003 Good Ball Joint Control</t>
  </si>
  <si>
    <t>Yamaha Blaster 200 OEM Wiring Harness 1988-2002 CDI Regulator Make Offer</t>
  </si>
  <si>
    <t>Yamaha Blaster 200 Crankcase 1988-2006 Crank Case Engine Cases Motor Left Right</t>
  </si>
  <si>
    <t>Yamaha Blaster 200 OEM Cylinder Stock Bore 66MM 1988-2006 Make Offer</t>
  </si>
  <si>
    <t>Yamaha Blaster 200 OEM Intake Joint 1988-2006 Carburetor Boot Make Offer</t>
  </si>
  <si>
    <t>Yamaha Blaster 200 OEM Gas Tank Cover 1988-2006 Fuel Black Make Offer</t>
  </si>
  <si>
    <t>Yamaha Blaster 200 OEM Kick Start Lever 1988-2006 Kickstarter Pedal Make Offer</t>
  </si>
  <si>
    <t>Yamaha Blaster 200 Clutch Cover 1988-2006 Right Side Oil Pump Make Offer</t>
  </si>
  <si>
    <t>Honda CR125R Swingarm 1991 Swing Arm Guide Make Offer</t>
  </si>
  <si>
    <t>Yamaha Blaster 200 Carburetor TORS Assembly 1988-2006 Cap Throttle Cable Switch</t>
  </si>
  <si>
    <t>Yamaha Blaster 200 OEM Front Shocks 1988-2006 Struts Red Make Offer</t>
  </si>
  <si>
    <t>Yamaha Blaster 200 Right Side Heel Guard 1990-2006 Plate Make Offer</t>
  </si>
  <si>
    <t>Yamaha Blaster 200 Clutch Cover 1988-2006 Right Side Gasket Make Offer</t>
  </si>
  <si>
    <t>Suzuki LTZ400 Pegs 2003-2008 Foot Pegs Footrests KFX400 DVX400 Z400 Left Right</t>
  </si>
  <si>
    <t>Honda TRX125 Front Brake Cables Parts Or Repair 1985 1986 Equalizer First Second</t>
  </si>
  <si>
    <t>Honda ATC110 Stator Cover 1981 1982 Left Side Magneto ATC 110 Make Offer</t>
  </si>
  <si>
    <t>Kawasaki Mojave 250 Radiator Fan All Years Guard Shroud KSF250 Make Offer</t>
  </si>
  <si>
    <t>Honda Fourtrax 250 OEM Stock Keihin Carburetor 1986 1987 QA09A TRX250 Make Offer</t>
  </si>
  <si>
    <t>Yamaha YFZ450 Front Bumper 2004-2008 Guard Grab Bar Make Offer</t>
  </si>
  <si>
    <t>Honda Tail Light Rubber Mounts TRX125 TRX200 TRX300EX  TRX400EX Fourtrax 250</t>
  </si>
  <si>
    <t>Honda Fourtrax 250 OEM Front Brake Reverse Lever 1986 1987 Left TRX250</t>
  </si>
  <si>
    <t>Yamaha Blaster 200 Complete Seat 1988-2006 Make Offer</t>
  </si>
  <si>
    <t>Yamaha Blaster 200 Clutch Lever Cable 1988-2002 Parking Brake Make Offer</t>
  </si>
  <si>
    <t>Honda ATC185S OEM Keihin Carburetor 1981 1982 1983 PD85A ATC 185 200 Stock</t>
  </si>
  <si>
    <t>Yamaha Blaster 200 OEM Taillight 1987-2001 Banshee Warrior 350 Tail Light</t>
  </si>
  <si>
    <t>Yamaha Blaster 200 Vito’s Crankshaft 1988-2006 Crank Gears Balancer Make Offer</t>
  </si>
  <si>
    <t>Yamaha Blaster 200 Crankshaft 1988-2006 Aftermarket Crank Make Offer</t>
  </si>
  <si>
    <t>Yamaha Blaster 200 OEM Front Shocks 1988-2006 Struts White Make Offer</t>
  </si>
  <si>
    <t>Yamaha Blaster 200 Headlight Body 2003-2006 Bucket Make Offer</t>
  </si>
  <si>
    <t>Yamaha Blaster 200 Maier Rear Fenders 1988-2006 Black Plastics Make Offer</t>
  </si>
  <si>
    <t>Yamaha Blaster 200 Reed Valve 1988-2006 Reeds Intake Carburetor Boot Parts</t>
  </si>
  <si>
    <t>Yamaha Warrior 350 Rear Shock Linkage 1987-2004 Relay Arm Rod Make Offer</t>
  </si>
  <si>
    <t>Yamaha Blaster 200 OEM Complete Fenders Set 2003-2006 Plastics Front Rear Hood</t>
  </si>
  <si>
    <t>Yamaha Blaster 200 OEM Thumb Throttle 1996-2002 TORS Make Offer</t>
  </si>
  <si>
    <t>Yamaha Blaster 200 OEM Adjustable Stator 2003-2006 Magneto 5 Wire Parts Repair</t>
  </si>
  <si>
    <t>Honda XR650L Gas Tank 1994 Fuel XR650 Make Offer</t>
  </si>
  <si>
    <t>Yamaha Blaster 200 OEM Rear Fenders 1988-2006 White Plastics Make Offer</t>
  </si>
  <si>
    <t>Yamaha Blaster 200 FMF Fatty Expansion Chamber 1988-2006 Head Pipe Muffler</t>
  </si>
  <si>
    <t>Yamaha Blaster 200 OEM Rear Shock 1988-2006 Strut White Suspension Make Offer</t>
  </si>
  <si>
    <t>Yamaha Blaster 200 Left Side Fender Heel Guard 1990-2006 Flap Make Offer</t>
  </si>
  <si>
    <t>Panasonic Electric Shaver Charger RE7-70 Charging Base Dock Beard Trimmer</t>
  </si>
  <si>
    <t>Yamaha Blaster 200 OEM Combo Switch 2002-2006 Light Kill On Off Left Side</t>
  </si>
  <si>
    <t>Yamaha Blaster 200 OEM Wiring Harness 2003-2006 CDI Regulator Make Offer</t>
  </si>
  <si>
    <t>Honda Rubber Seat Cushions Bushings ATC200X 250R 250SX Fourtrax Rancher Foreman</t>
  </si>
  <si>
    <t>Yamaha Blaster 200 FMF Powercore Silencer 1988-2006 Pipe Muffler Make Offer</t>
  </si>
  <si>
    <t>Honda Rancher 350 Snorkel Air Guide Plate 2000-2003 Gas Tank Heat Shield Fuel</t>
  </si>
  <si>
    <t>Yamaha Blaster 200 Left Side Foot Peg 1988-2001 Footrest Foot Rest Make Offer</t>
  </si>
  <si>
    <t>Yamaha Blaster 200 Left Crankcase 1988-2006 Half Crank Case Engine Motor</t>
  </si>
  <si>
    <t>Yamaha Blaster 200 Cobra Nerf Bars 1988-2006 Make Offer</t>
  </si>
  <si>
    <t>Yamaha Blaster 200 Foot Pegs 1990-2001 Footrests Rear Brake Pedal Right Left</t>
  </si>
  <si>
    <t>Yamaha Blaster 200 OEM Clutch Boss 1988-2006 Springs Pressure Plate Make Offer</t>
  </si>
  <si>
    <t>Honda Fourtrax 250 Trailer Hitch 1985 1986 1987 ATC250ES Big Red Rear TRX250</t>
  </si>
  <si>
    <t>Honda Thumb Throttle 1986 1987 Fourtrax 250 350 TRX200SX ATC200X 250SX 250ES</t>
  </si>
  <si>
    <t>Honda ATC250SX OEM Front Brake Reverse Lever 1985 Fourtrax 250 Left TRX250</t>
  </si>
  <si>
    <t>Honda Fourtrax 250 Foot Pegs 1986 1987 Rear Brake Pedal Lever Left Right TRX250</t>
  </si>
  <si>
    <t>Yamaha Blaster 200 OEM Front Brake Cables 1988-2002 Splitter Box Parts Repair</t>
  </si>
  <si>
    <t>Honda XL185S OEM Keihin Carburetor 1980 1981 1982 PD13B XL185 Stock</t>
  </si>
  <si>
    <t>Honda Fourtrax 250 Headlight 1985 1986 1987 Head Light Case TRX250</t>
  </si>
  <si>
    <t>Honda Fourtrax 250 Rear Rack Rubber Mounts 1982-1987 ATC200ES Carrier TRX250</t>
  </si>
  <si>
    <t>Yamaha Blaster 200 OEM Stator 1988-2002 Magneto 4 Wire Base Make Offer</t>
  </si>
  <si>
    <t>Honda Fourtrax 250 Rear Driveshaft 1986 1987 Propeller Yoke Drive Shaft TRX250</t>
  </si>
  <si>
    <t>Kawasaki Bayou 300 Front Bevel Gear 1997-2004 Output Shaft Transfer Case</t>
  </si>
  <si>
    <t>Honda Fourtrax 250 Dash 1986 1987 Handlebar Cover Ignition TRX250 Make Offer</t>
  </si>
  <si>
    <t>Honda ATC110 Rear Brake Pedal 1979-1983 Rod Arm Lever ATC 110 Make Offer</t>
  </si>
  <si>
    <t>Yamaha Blaster 200 Oil Pump Cover 1988-2006 Right Side Make Offer</t>
  </si>
  <si>
    <t>Honda ATC90 ATC110 Clutch Cover 1970-1982 Right Side ATC 90 110 Make Offer</t>
  </si>
  <si>
    <t>Yamaha Blaster 200 Wiring Harness Parts Or Repair 1988-2002 CDI Regulator TORS</t>
  </si>
  <si>
    <t>Honda Fourtrax 250 Timing Chain 1985-1987 Tensioner Guides Cam ATC250ES ATC250SX</t>
  </si>
  <si>
    <t>Honda Fourtrax 250 OEM Handlebar 1986 1987 Handle Bars TRX250</t>
  </si>
  <si>
    <t>Honda Fourtrax 250 Secondary Clutch 1985-1987 Wet Centrifugal ATC250SX ATC250ES</t>
  </si>
  <si>
    <t>Honda Fourtrax 250 Shifter Shaft 1985-1987 Shift Pedal ATC250ES ATC250SX</t>
  </si>
  <si>
    <t>Honda ATC110 Sub Transmission 1981-1985 Gears High Low Range ATC 110 Make Offer</t>
  </si>
  <si>
    <t>Honda ATC185S OEM Keihin Carburetor Parts Repair 1981-1983 PD85D ATC 185 200</t>
  </si>
  <si>
    <t>Honda Fourtrax 250 Flywheel 1985-1987 Rotor Starter Gear ATC250SX ATC250ES</t>
  </si>
  <si>
    <t>Yamaha Blaster 200 Swingarm Guard 1988-2006 Rear Skid Plate Swing Arm Make Offer</t>
  </si>
  <si>
    <t>Suzuki LT80 Drive Belt 1987-2006 Mitsuboshi Clutch KFX80 LT 80 KFX Make Offer</t>
  </si>
  <si>
    <t>Yamaha Blaster 200 Cylinder Head 1988-2006 Dome Make Offer</t>
  </si>
  <si>
    <t>Yamaha Blaster 200 Swingarm 1988-2006 Rear Swing Arm Chain Guide Make Offer</t>
  </si>
  <si>
    <t>Honda Fourtrax 250 Starter Gears 1987 Idle Cover ATC250ES ATC250SX Make Offer</t>
  </si>
  <si>
    <t>Yamaha Blaster 200 Stock Silencer 1988-2006 Pipe Muffler Exhaust Make Offer</t>
  </si>
  <si>
    <t>Yamaha Blaster 200 Shift Shaft 1988-2006 Lever Shifter Make Offer</t>
  </si>
  <si>
    <t>Yamaha Blaster 200 Transmission 1988-2006 Gears Forks Shift Drum</t>
  </si>
  <si>
    <t>Suzuki LT80 Front Motor Mount 1987-2006 Engine Bracket Support Bolts KFX80 LT 80</t>
  </si>
  <si>
    <t>Mikuni TM24 Carburetor Genuine Flat Slide 24MM Make Offer</t>
  </si>
  <si>
    <t>Honda ATC110 ATC90 Timing Chain Tensioner 1970-1985 ATC 90 110 Make Offer</t>
  </si>
  <si>
    <t>Yamaha Blaster 200 Headlight 1988-2002 Case Plastic Guard Bracket Make Offer</t>
  </si>
  <si>
    <t>Yamaha Blaster 200 Stock Expansion Chamber 1988-2006 Head Pipe Muffler Header</t>
  </si>
  <si>
    <t>Yamaha Blaster 200 Left Side A-Arms 1988-2002 Upper Lower Make Offer</t>
  </si>
  <si>
    <t>Polaris 300 400 Center Chain Guard 1994-1998 Front Cover Big Boss 400L Magnum</t>
  </si>
  <si>
    <t>Polaris 300 400L Airbox 1994 Trail Boss Blazer Big Sport 400 Intake Air Box</t>
  </si>
  <si>
    <t>Polaris 250 300 350L 400L Gas Tank 1988-1998 Fuel Trail Boss Big Blazer Sport</t>
  </si>
  <si>
    <t>Yamaha Blaster 200 OEM Stator 1988-2002 Magneto 4-Wire Base Make Offer</t>
  </si>
  <si>
    <t>Polaris 300 400L Crankshaft 1994-2003 Trail Boss Blazer Scrambler 400 Crank</t>
  </si>
  <si>
    <t>Honda Fourtrax 250 Cylinder Head 1987 Cover Camshaft ATC250SX TRX250 Make Offer</t>
  </si>
  <si>
    <t>Yamaha Blaster 200 Oil Pump 1988-2006 Lines Make Offer</t>
  </si>
  <si>
    <t>Honda Fourtrax 250 Wiring Harness 1987 CDI Box TRX250 Make Offer</t>
  </si>
  <si>
    <t>Polaris 400L OEM Mikuni Carburetor 1994 1995 Xplorer Sportsman 400 Carb</t>
  </si>
  <si>
    <t>Polaris 300 400L Crankcase 1994-1999 Engine Cases Motor Xplorer Xpress Big Boss</t>
  </si>
  <si>
    <t>Honda Fourtrax 250 Steering Stem 1986 1987 Shaft Clamp Top Bridge TRX250</t>
  </si>
  <si>
    <t>Yamaha Blaster 200 Clutch Basket 1988-2006 Boss Pressure Plate Make Offer</t>
  </si>
  <si>
    <t>Polaris 350L 400L Downtube 1990-1995 Intake Duct Coolant Reservoir Sportsman</t>
  </si>
  <si>
    <t>Honda Fourtrax 250 Stator 1987 Magneto Left Cover ATC250ES ATC250SX TRX250</t>
  </si>
  <si>
    <t>Polaris 300 400L Inner Clutch Cover 1994 1995 Shroud Sport Sportman Xplorer</t>
  </si>
  <si>
    <t>Polaris 350L 400L Bumper Headlights 1991-1994 Lights Trail Boss 400 Make Offer</t>
  </si>
  <si>
    <t>Polaris 250 300 350L 400L Gas Tank Bracket 1991-2006 Fuel Trail Blazer Boss</t>
  </si>
  <si>
    <t>Honda Fourtrax 250 Front Shocks 1985 1986 1987 Cushion TRX250 Make Offer</t>
  </si>
  <si>
    <t>Polaris 300 400L Flywheel 1994-2002 400 Rotor Ring Gear Xplorer Xpress Big Boss</t>
  </si>
  <si>
    <t>Polaris 250 300 350L 400L Oil Tank 1993-1999 Trail Boss Big Blazer Make Offer</t>
  </si>
  <si>
    <t>Polaris 400L Cylinder Head 1994-1999 Cover Xplorer Xpress Scrambler 400 Dome</t>
  </si>
  <si>
    <t>Polaris 300 400L Recoil Starter 1994 Pull Sport Sportsman Big Boss ATV</t>
  </si>
  <si>
    <t>Polaris 350L 400L Speedometer 1992-1999 Parts Or Repair Bracket Trail Boss Big</t>
  </si>
  <si>
    <t>Polaris 400L Shifter 1993 1994 Sportsman 400 Linkage Selector Make Offer</t>
  </si>
  <si>
    <t>Yamaha Blaster 200 Headlight Bracket 1988-2002 Stay Guard Make Offer</t>
  </si>
  <si>
    <t>Polaris 250 300 350L 400L Gates G-Force Drive Belt 1987-1999 Trail Boss</t>
  </si>
  <si>
    <t>Polaris 350L 400L Reed Valve Assembly 1990-1995 Reeds Trail Boss 350 Sport 400</t>
  </si>
  <si>
    <t>Polaris 300 400L Secondary Clutch 1994 1995 1996 Driven Converter Magnum Xplorer</t>
  </si>
  <si>
    <t>Honda Fourtrax 250 OEM Rear Grab Bar 1986 1987 Bumper Carrier Pipe TRX250</t>
  </si>
  <si>
    <t>Polaris 250 300 400L Combo Switch 1993-1995 Kill Left Handlebar 400 Trail Boss</t>
  </si>
  <si>
    <t>Polaris 250 300 400L Rear Brake Caliper 1994 1995 Trail Boss Blazer Sport 400</t>
  </si>
  <si>
    <t>Polaris 250 300 400L Rear Brake Line 1994-1999 Hose Trail Boss Blazer Big</t>
  </si>
  <si>
    <t>Polaris 300 350L 400L Balancer 1990-2001 Gears Scrambler Xplorer Xpress 400</t>
  </si>
  <si>
    <t>Polaris 250 300 350L 400L Ignition Panel Switch 1989-2000 Trail Boss Key 400</t>
  </si>
  <si>
    <t>Polaris 250 300 350L 400L Center Chain Tensioner 1989-1995 Tightener Sprockets</t>
  </si>
  <si>
    <t>Polaris 350L 400L 4x4 Thumb Throttle 1994 1995 AWD Sportsman Magnum Xplorer 400</t>
  </si>
  <si>
    <t>Polaris 250 300 350L 400L Starter Motor 1991-1996 Bendix Starter Gear Shaft</t>
  </si>
  <si>
    <t>Polaris 400L Shift Rods 1993-1996 Shiftlink Linkage Xplorer Xpress 400 Big Boss</t>
  </si>
  <si>
    <t>Kawasaki Bayou 300 Rear Brake Drum Right Hub 1986 1987 Panel KLF300B</t>
  </si>
  <si>
    <t>Polaris 300 400L Outer Clutch Cover 1994-2000 Xplorer Trail Boss Scrambler Front</t>
  </si>
  <si>
    <t>Yamaha Blaster 200 OEM Cylinder 1988-2006 68MM Bore Core Make Offer</t>
  </si>
  <si>
    <t>Yamaha Blaster 200 OEM Clutch Boss 1988-2006 Pressure Plate Make Offer</t>
  </si>
  <si>
    <t>Polaris 250 350L 400L Side Covers 1991-1999 Panels 400 Sport Red Fenders</t>
  </si>
  <si>
    <t>Honda TRX125 Front Upper Brake Cable 1985 1986 Top Instrument Fourtrax 125</t>
  </si>
  <si>
    <t>Yamaha Tri-Moto 125 175 Airbox 1980-1985 Air Cleaner Lid Box Intake YT125 YT175</t>
  </si>
  <si>
    <t>Polaris 300 400L Motor Mounts 1994-1997 Plate Sportsman Xpress Sport 400</t>
  </si>
  <si>
    <t>Polaris 350L 400L Seat 1993 1994 1995 Red Trail Boss 350 Sport 400</t>
  </si>
  <si>
    <t>Polaris 300 400L 4x4 Transmission 1994 Gearcase Chaincase Sportsman Rotor 240002</t>
  </si>
  <si>
    <t>Polaris 300 400L Front Hilliard Clutches 1993 1994 Hub Bearings Sportsman 400</t>
  </si>
  <si>
    <t>Polaris 300 350L 400L 4x4 Front Hubs 1993-1997 Brake Rotor Trail Boss Sportsman</t>
  </si>
  <si>
    <t>Polaris 300 350L 400L Exhaust Heat Shield 1993-1995 Shroud Sportsman Magnum</t>
  </si>
  <si>
    <t>Polaris 250 300 350L 400L Front Brakes 1991-1995 Calipers Master Cylinder Lines</t>
  </si>
  <si>
    <t>Yamaha Tri-Moto 125 175 Rear Grab Bar 1980-1985 Bumper YT125 YT175</t>
  </si>
  <si>
    <t>Honda Fourtrax 250 Wheel Center Caps 1986 1987 TRX250 Make Offer</t>
  </si>
  <si>
    <t>Polaris 400L 4x4 Left Front Shock 1994 Hubstrut MacPherson Strut 400</t>
  </si>
  <si>
    <t>Polaris 400L 4x4 Right Front Shock 1994 Hubstrut MacPherson Strut 400</t>
  </si>
  <si>
    <t>Honda Fourtrax 250 Rear Drive Axle 1985-1987 TRX250 Make Offer</t>
  </si>
  <si>
    <t>Polaris 250 300 350L 400L Rear Shock 1989-1995 Absorber Trail Boss Make Offer</t>
  </si>
  <si>
    <t>Polaris 250 300 350L 400L Rear Axle Hubs 1992-2004 Sportsman Trail Boss 400</t>
  </si>
  <si>
    <t>Honda Fourtrax 250 Left Rear Hub 1986 1987 ATC250SX ATC250ES Big Red TRX250</t>
  </si>
  <si>
    <t>Polaris 400L Cylinder 1994 1995 Big Boss Sport 400 Sportsman Jug Make Offer</t>
  </si>
  <si>
    <t>Polaris 400L Stator Cover 1994 1995 Water Pump Big Boss Scrambler Sport 400</t>
  </si>
  <si>
    <t>Honda Fourtrax 250 300 Starter Motor 1987-2000 Tested ATC250ES TRX250 TRX300</t>
  </si>
  <si>
    <t>Yamaha Tri-Moto 125 Reeds 1980-1985 Reed Valve Intake Joint YT125 Make Offer</t>
  </si>
  <si>
    <t>Polaris 250 300 330 350L 400L Trailer Hitch Trail Blazer Big Boss Xplorer Magnum</t>
  </si>
  <si>
    <t>POR 15 Metal Gas Tank Sealer Kit 49229 Motorcycle ATV Liner Fuel POR-15 POR15</t>
  </si>
  <si>
    <t>Polaris 250 300 400L Air Tubes 1994-2000 Ducts Inlet Outlet Top Sportsman 400</t>
  </si>
  <si>
    <t>Honda Fourtrax 250 Right Rear Hub 1986 1987 TRX250 Make Offer</t>
  </si>
  <si>
    <t>Honda Fourtrax 250 Cylinder 1985-1987 Needs Bore Core Jug ATC250ES ATC250SX</t>
  </si>
  <si>
    <t>Yamaha Tri-Moto 125 175 Oil Injection Tank 1980-1985 Reservoir YT125 YT175</t>
  </si>
  <si>
    <t>Honda Fourtrax 250 Front Brake Spindles Drums 1986 1987 Right Left Hub TRX250</t>
  </si>
  <si>
    <t>Honda Fourtrax 250 Tie Rods 1985 1986 Parts Or Repair TRX250 Make Offer</t>
  </si>
  <si>
    <t>Yamaha Tri-Moto 125 Muffler 1980-1985 Exhaust Pipe YT125 Make Offer</t>
  </si>
  <si>
    <t>Polaris 300 400L 500 4x4 A-Arms 1994-1998 Control 400 Xplorer Scrambler</t>
  </si>
  <si>
    <t>Honda TRX90 Front Rear Wheel Bolts TRX125 TRX200 ATC125M Lugs 10x24.5MM</t>
  </si>
  <si>
    <t>Polaris Scrambler 400 Muffler Shield 1995-2000 Right Side Plastic Cover</t>
  </si>
  <si>
    <t>Honda Fourtrax 250 Clutch Cover 1985-1987 Right Side ATC250ES ATC250SX</t>
  </si>
  <si>
    <t>Yamaha Tri-Moto 125 175 Stator 1980-1985 Magneto Alternator YT125 YT175</t>
  </si>
  <si>
    <t>Polaris Scrambler 400 500 Complete Seat 1995-2002 Red Make Offer</t>
  </si>
  <si>
    <t>Polaris Scrambler 400 Gas Tank 1999 2000 Fuel Xplorer 250 Sport Make Offer</t>
  </si>
  <si>
    <t>Polaris Scrambler 400 Airbox 1998-2003 Air Box Intake Xplorer Sport Make Offer</t>
  </si>
  <si>
    <t>Polaris Scrambler 400 Downtube 1999-2003 Intake Duct Coolant Reservoir Xplorer</t>
  </si>
  <si>
    <t>Yamaha Blaster 200 OEM Rear Drive Hub Collar 1988-2006 Chain Sprocket Make Offer</t>
  </si>
  <si>
    <t>Polaris 250 300 400L Rear Brake Pedal 1994-1999 Rod Lever Trail Boss Blazer Big</t>
  </si>
  <si>
    <t>Honda TRX125 Front Brake Equalizer Bracket 1987 1988 Body Fourtrax 125</t>
  </si>
  <si>
    <t>Polaris Scrambler 400 500 Shift Rod Linkage 1998-2002 Trail Blazer Sport</t>
  </si>
  <si>
    <t>Polaris Scrambler 400 OEM Mikuni Carburetor 1997-2000 Sport Make Offer</t>
  </si>
  <si>
    <t>Polaris Scrambler 400 DG Full Exhaust 1998-2003 Muffler Pipe Xplorer Sport</t>
  </si>
  <si>
    <t>Polaris Scrambler 400 Rear Rack 1995-2003 Luggage Make Offer</t>
  </si>
  <si>
    <t>Honda Fourtrax 250 Steering Shaft 1986 1987 Stem Clamp Top Bridge TRX250</t>
  </si>
  <si>
    <t>Polaris Scrambler 400 500 Cooling Fan 1998-2001 Motor Xplorer Make Offer</t>
  </si>
  <si>
    <t>Polaris Scrambler 400 Stator 1994-2003 Magneto Plate Alternator Sport Make Offer</t>
  </si>
  <si>
    <t>Yamaha Blaster 200 Front Bumper Cover 1988-2006 Guard Plate Make Offer</t>
  </si>
  <si>
    <t>Polaris 250 300 350L 400L Rear Fender Supports 1991-2001 Brackets Make Offer</t>
  </si>
  <si>
    <t>Yamaha Tri-Moto 125 Wiring Harness 1980-1985 CDI Box Ignition YT125 Make Offer</t>
  </si>
  <si>
    <t>Polaris Scrambler 400 Front Nose Plastic 1995-2002 Fender Piece Make Offer</t>
  </si>
  <si>
    <t>Polaris Scrambler 400 500 Tool Box 1995-2002 Toolbox Storage Make Offer</t>
  </si>
  <si>
    <t>Polaris Scrambler 400 Secondary Driven Clutch 1997-2008 Trail Boss 250 Sportsman</t>
  </si>
  <si>
    <t>Yamaha Blaster 200 Airbox 1988-2006 Air Box Cleaner Case Make Offer</t>
  </si>
  <si>
    <t>Polaris Scrambler 400 Recoil Starter 1998-2003 Pull Start Xplorer Sport</t>
  </si>
  <si>
    <t>Polaris Scrambler 400 Flywheel 1994-2003 Rotor Ring Gear Sport 4576 Make Offer</t>
  </si>
  <si>
    <t>Polaris 250 300 350L 400L Handlebar Cover 1988-2000 Clamp Trail Boss Blazer Big</t>
  </si>
  <si>
    <t>Polaris Scrambler 400 500 Steering Stem 1995-2001 Shaft Post Xplorer Sportsman</t>
  </si>
  <si>
    <t>Polaris Scrambler 400 500 Floorboards 1998-2001 Pegs Footwells Sport Make Offer</t>
  </si>
  <si>
    <t>Polaris Scrambler 400 Oil Tank 1995-2006 Xpress 300 Trail Blazer 250 Xplorer</t>
  </si>
  <si>
    <t>Polaris Scrambler 400 500 OEM Rear Fox Shock 1998 1999 Strut Spring Red</t>
  </si>
  <si>
    <t>Suzuki LT80 Tie Rods 1987-2006 Ends Left Right KFX80 LT 80 KFX Make Offer</t>
  </si>
  <si>
    <t>Honda ATC90 ATC110 Stator Cover 1976-1980 Left Side ATC 110 Make Offer</t>
  </si>
  <si>
    <t>Polaris Scrambler 400 500 4x4 Front Shocks 1998-2001 Struts Hubstrut Right Left</t>
  </si>
  <si>
    <t>Kawasaki KX250 OEM Expansion Chamber 1997 1998 Exhaust Muffler Headpipe Header</t>
  </si>
  <si>
    <t>Polaris Scrambler 400 500 Hilliard Clutches 1999-2005 Hub Bearings Sportsman</t>
  </si>
  <si>
    <t>Polaris Scrambler 400 500 Front Differential 1999 2000 Diff Xplorer Sportsman</t>
  </si>
  <si>
    <t>Polaris Scrambler 400 500 Rear Swingarm 1998-2003 Trail Blazer Boss Make Offer</t>
  </si>
  <si>
    <t>Polaris Scrambler 400 500 Front Bumper 1998-2002 Guard Frame Make Offer</t>
  </si>
  <si>
    <t>Polaris Scrambler 400 500 Front Brake Lines 1997-2001 Hoses Splitter Make Offer</t>
  </si>
  <si>
    <t>Polaris Scrambler 400 Reed Valve Assembly 1996-2003 Reeds Xplorer Sport 400L</t>
  </si>
  <si>
    <t>Yamaha Blaster 200 Pair Of Balancers 1988-2006 Gear Balance Shaft Make Offer</t>
  </si>
  <si>
    <t>Honda TRX250EX Starter Gears 1997-2002 Recon 250 Idle Reduction Make Offer</t>
  </si>
  <si>
    <t>Yamaha Blaster 200 OEM Wiring Harness 1988-2002 Combo Switch Kill Make Offer</t>
  </si>
  <si>
    <t>Polaris Scrambler 400 Oil Pump Parts Or Repair 1996-2003 Sport 400L Make Offer</t>
  </si>
  <si>
    <t>Polaris Scrambler 400 Oil Dipstick 1994-1999 Gauge Dip Stick Xplorer Xpress 400L</t>
  </si>
  <si>
    <t>Polaris Scrambler 400 Clutch Cover 1998-2003 Inner Outer Duct Xplorer Sport</t>
  </si>
  <si>
    <t>Polaris Scrambler 400 500 Rear Brake Caliper Bracket 1998-2004 Mount Make Offer</t>
  </si>
  <si>
    <t>Polaris Scrambler 400 Crankshaft 1990-2003 Crank Gear Xpress 300 Xplorer 400L</t>
  </si>
  <si>
    <t>Polaris Scrambler 400 Wiring Harness 1999 CDI Box Limiters Ignition Make Offer</t>
  </si>
  <si>
    <t>Honda Fourtrax 250 Rear Differential 1986 1987 Final Drive Diff ATC250ES Big Red</t>
  </si>
  <si>
    <t>Yamaha Tri-Moto 125 175 Clutch Cover 1980-1985 Right Side Oil Pump YT125 YT175</t>
  </si>
  <si>
    <t>Polaris Scrambler 400 Cylinder Core 1996-1999 84MM Jug Xplorer Xpress Sport 400L</t>
  </si>
  <si>
    <t>Yamaha Tri-Moto 125 175 Rear Brake Caliper 1980-1985 Brakes Pads YT125 YT175</t>
  </si>
  <si>
    <t>Polaris Scrambler 400 Balancer 1990-2001 Xplorer Xpress 300 350L 400L Make Offer</t>
  </si>
  <si>
    <t>Polaris 300 400L Tie Rods 1994-1997 Parts Or Repair Sportsman Xpress Sport 400</t>
  </si>
  <si>
    <t>Polaris Scrambler 400 500 Headlights 1997-2004 Bracket Guard Head Lights</t>
  </si>
  <si>
    <t>Yamaha Tri-Moto 125 175 Footrest 1980-1985 Pegs Foot Rest YT125 YT175</t>
  </si>
  <si>
    <t>Polaris 250 300 350L 400L Rear Axle Carrier 1988-1999 Housing Trail Boss Blazer</t>
  </si>
  <si>
    <t>Polaris 400L Wiring Harness 1994 1995 Fuse Block Limiter Sportsman Magnum 400</t>
  </si>
  <si>
    <t>Kawasaki Bayou 300 Rear Axle Tubes 1988-2004 Pipes Left Right KLF300 Make Offer</t>
  </si>
  <si>
    <t>Polaris Scrambler 400 Cylinder Head 1994-1999 Dome Cover Xplorer Xpress 400L</t>
  </si>
  <si>
    <t>Yamaha DT125 Crankshaft 1978-1985 Tri-Moto 125 Crank Gear YT125 Make Offer</t>
  </si>
  <si>
    <t>Polaris Scrambler 400 500 A-Arms 1999 Control 400 Xplorer Sportsman 335</t>
  </si>
  <si>
    <t>Kawasaki Bayou 400 Kickstart Lever 1993-1999 Kickstarter Shaft KLF400 Make Offer</t>
  </si>
  <si>
    <t>Polaris Scrambler 400 500 Dash Lights 1995-1999 Control Panel Cluster Sport 400L</t>
  </si>
  <si>
    <t>Yamaha Tri-Moto 125 OEM Mikuni Carburetor 1981-1985 YT125 Carb Cables Make Offer</t>
  </si>
  <si>
    <t>Polaris 350L 400L Radiator Shields 1990-1997 Bumper Trail Boss Big Make Offer</t>
  </si>
  <si>
    <t>Polaris Scrambler 400 OEM Tie Rods 1998-2000 Sportsman 500 Magnum Make Offer</t>
  </si>
  <si>
    <t>Honda Fourtrax 250 Gas Tank Cap 1983-1986 Fuel ATC 110 250SX 250ES Big Red TRX</t>
  </si>
  <si>
    <t>Kawasaki Bayou 400 Starter Gears 1993-1999 Limiter Idler Gear Reduction KLF400</t>
  </si>
  <si>
    <t>Littlest Pet Shop Large Lot Playset Pets Dogs Cats Accessories Hasbro LPS</t>
  </si>
  <si>
    <t>Honda TRX300EX OEM Cylinder 1998-2009 Stock Bore Jug 300EX Make Offer</t>
  </si>
  <si>
    <t>Polaris 350L 400L Headlight Hood 1991-1995 Trail Boss Big Sport Red 400</t>
  </si>
  <si>
    <t>Polaris 350L 400L Steering Shaft 1993-1995 Stem Post Magnum Sportsman 400</t>
  </si>
  <si>
    <t>Polaris Scrambler 400 500 4x4 Front Hubs 1997-2004 Brake Rotor Sportsman</t>
  </si>
  <si>
    <t>Polaris 250 350L 400L Rear Chain Sprocket 1990-1994 Axle Drive Trail Boss Blazer</t>
  </si>
  <si>
    <t>Kawasaki Bayou 400 Reverse Cable Knob 1993-1999 Lever KLF400 Make Offer</t>
  </si>
  <si>
    <t>Polaris Scrambler 400 500 Mud Flap 1998-2000 Inner Fender Front Rear Right Left</t>
  </si>
  <si>
    <t>Polaris Scrambler 400 500 Rear Brake Pedal 1998-2000 Master Cylinder Lever</t>
  </si>
  <si>
    <t>Lot of 4 Levi's 514 Slim Straight Gray/Tan/Blue/Dark Blue Jeans Men's Size 31x30</t>
  </si>
  <si>
    <t>Honda TRX300EX Flywheel 1993-2009 Starter Clutch Generator Rotor 300EX</t>
  </si>
  <si>
    <t>Polaris Scrambler 400 Shifter 1999 2000 2001 2002 Shift Lever Gear Selector Rod</t>
  </si>
  <si>
    <t>Kawasaki Bayou 400 Gas Tank Cover 1993-1999 Fuel Gray Top Fender KLF400</t>
  </si>
  <si>
    <t>Honda TRX300EX Stator With Cover 1993-2006 Magneto Alternator Left Side 300EX</t>
  </si>
  <si>
    <t>Yamaha Tri-Moto 125 175 Seat Brackets 1980-1985 Latch Catch Rear Fender</t>
  </si>
  <si>
    <t>Kawasaki Bayou 400 Throttle With Cable 1993-1999 Thumb Lever KLF400 Make Offer</t>
  </si>
  <si>
    <t>Honda Fourtrax 250 Rear Swingarm 1986 Pipes Housing TRX250 Make Offer</t>
  </si>
  <si>
    <t>Kawasaki Bayou 400 Rear Foot Brake Pedal 1993-1999 Cable Lever KLF400 Make Offer</t>
  </si>
  <si>
    <t>Honda TRX300EX Timing Chain Tensioner 1987-2009 Guides Cam TRX250X Fourtrax 300</t>
  </si>
  <si>
    <t>Honda Fourtrax 250 Front Brake Lines 1985-1987 Hoses Master Cylinder TRX250</t>
  </si>
  <si>
    <t>Polaris Scrambler 400 500 Rear Brake Lines 1998-2000 Hoses Hand Foot Banjo</t>
  </si>
  <si>
    <t>Yamaha Tri-Moto 125 175 Recoil Starter Pulley 1980-1985 Catch YT125 YT175</t>
  </si>
  <si>
    <t>Kawasaki Bayou 400 OEM Carburetor 1993 1994 1995 Keihin CVK KLF400</t>
  </si>
  <si>
    <t>Yamaha Tri-Moto 125 Cylinder Head 1980-1985 Core Jug YT125 Make Offer</t>
  </si>
  <si>
    <t>Kawasaki Bayou 400 OEM Muffler 1995-1999 Exhaust KLF400 Make Offer</t>
  </si>
  <si>
    <t>1929 $20 Twenty Dollar Federal Reserve Bank of Chicago Illinois National Note</t>
  </si>
  <si>
    <t>Kawasaki Bayou 400 Front Driveshaft 1993 1994 1995 Yoke Coupling Propeller</t>
  </si>
  <si>
    <t>Kawasaki Bayou 400 Skid Plates 1993-1999 Engine Guard Front Side Driveshaft</t>
  </si>
  <si>
    <t>Kawasaki Bayou 400 Radiator Fan 1993-1999 Cooling Tested Denso KLF400</t>
  </si>
  <si>
    <t>Honda TRX300EX Complete Clutch 1993-2009 Basket Hub Boss 300EX</t>
  </si>
  <si>
    <t>Yamaha Tri-Moto 125 Drive Chain Tensioner 1980-1982 Puller YT125 Make Offer</t>
  </si>
  <si>
    <t>Polaris Scrambler 400 Muffler Shield 1995-2000 Right Side Exhaust Cover Sport</t>
  </si>
  <si>
    <t>Yamaha Warrior 350 Right Side Case 1989-2013 Raptor Crankcase Make Offer</t>
  </si>
  <si>
    <t>Yamaha Blaster 200 OEM Rear Axle 1988-2002 Wheel Drive Make Offer</t>
  </si>
  <si>
    <t>Polaris Scrambler 400 Crankcase 1994-1999 Engine Cases Motor Xplorer Xpress 400L</t>
  </si>
  <si>
    <t>Yamaha Tri-Moto 125 175 Headlight Glass 1980-1985 Trim YT125 YT175 Make Offer</t>
  </si>
  <si>
    <t>Polaris Scrambler 400 Front Nose Plastic 1995-2002 Hood Fender Piece Make Offer</t>
  </si>
  <si>
    <t>Kawasaki Bayou 300 Crankcase 1989-2004 Engine Cases Motor Left Right KLF300</t>
  </si>
  <si>
    <t>Kawasaki Bayou 400 Flywheel 1993-1999 Generator Rotor Starter Gear Clutch KLF400</t>
  </si>
  <si>
    <t>Kawasaki Bayou 300 400 Combination Switch 1988-2004 Lakota Starter Kill Switch</t>
  </si>
  <si>
    <t>Kawasaki Bayou 400 Radiator Hoses 1993-1999 Pipes Lines KLF400 Make Offer</t>
  </si>
  <si>
    <t>Kawasaki Bayou 400 Front Differential 1993-1999 Diff Final Drive Gear Make Offer</t>
  </si>
  <si>
    <t>Honda TRX300EX Cylinder Head Bolts 1993-2009 Carb Boot 300EX 300X</t>
  </si>
  <si>
    <t>Kawasaki Bayou 400 Water Pump 1993-1999 Housing Cover Impeller Shaft KLF400</t>
  </si>
  <si>
    <t>Honda Fourtrax 250 Rear Brake Drum Panel 1986 1987 Cover Backing Plate TRX250</t>
  </si>
  <si>
    <t>Kawasaki Bayou 300 400 4x4 Front Brakes 1989-2004 Master Cylinder Calipers Lines</t>
  </si>
  <si>
    <t>Polaris 300 400 Center Chain Guard 1994-1998 Front Cover Scrambler Right Side</t>
  </si>
  <si>
    <t>Kawasaki Bayou 300 400 Headlights 1992-2004 Headlights Lamps Make Offer</t>
  </si>
  <si>
    <t>Yamaha Tri-Moto 125 Complete Transmission 1980-1985 Gears Forks YT125 Make Offer</t>
  </si>
  <si>
    <t>Polaris 350L 400L Gas Tank Cover 1993 1994 Top Fender Fuel Shroud 400 Red</t>
  </si>
  <si>
    <t>Honda TRX300EX Valve Springs 1993-2009 Retainer Cotters Keepers 300EX 300X</t>
  </si>
  <si>
    <t>Honda TRX300EX Cylinder Head Cover 1993-2006 300EX Make Offer</t>
  </si>
  <si>
    <t>Polaris Scrambler 400 Airbox 1995-1997 Air Box Intake Trail Blazer Make Offer</t>
  </si>
  <si>
    <t>Polaris Scrambler 400 Crankshaft Drive Gear 1990-2002 Crank Sport 400L 350L</t>
  </si>
  <si>
    <t>Honda Fourtrax 250 Motor Mounts 1985-1987 Engine Hangers Brackets Bolts</t>
  </si>
  <si>
    <t>Polaris Scrambler 400 500 Complete Seat 1995-2002 Black Make Offer</t>
  </si>
  <si>
    <t>Polaris Scrambler 400 500 Hilliard Clutches 1995-1998 Hub Bearings Sportsman</t>
  </si>
  <si>
    <t>Polaris Scrambler 400 500 Taillight 1995-2002 Brake Light Sport Tested</t>
  </si>
  <si>
    <t>Polaris Scrambler 400 Shift Rod Linkage 1996-1998 Trail Blazer 250 Sport 400L</t>
  </si>
  <si>
    <t>Polaris Scrambler 400 Crankshaft 1990-2003 Crank Xpress 300 Xplorer 400L</t>
  </si>
  <si>
    <t>Polaris Scrambler 400 Flywheel 1994-2003 Rotor Ring Gear Sport 4576 FF95 3084784</t>
  </si>
  <si>
    <t>Polaris Scrambler 400 500 Front Driveshaft 1998-2000 Propeller Shaft U-Joint</t>
  </si>
  <si>
    <t>Honda Fourtrax 250 Kickstart Ratchet 1985-1987 Kickstarter Gears ATC250SX</t>
  </si>
  <si>
    <t>Polaris Scrambler 400 500 Cooling Fan 1996-1998 Sportsman Sport Make Offer</t>
  </si>
  <si>
    <t>Polaris Scrambler 400 OEM Mikuni Carburetor 1996 Sport Make Offer</t>
  </si>
  <si>
    <t>Polaris Scrambler 400 Miscellaneous Bolt Lot Hardware Bolts Make Offer</t>
  </si>
  <si>
    <t>Kawasaki Bayou 400 CDI Box 1993-1999 Igniter Black ECU Computer KLF400</t>
  </si>
  <si>
    <t>Polaris Scrambler 400 Recoil Starter 1995-1999 Pull Start Xplorer Sport 3085082</t>
  </si>
  <si>
    <t>Polaris 300 400 500 AWD Button 1993-2000 4x4 Switch Scrambler Sportsman 4110166</t>
  </si>
  <si>
    <t>Kawasaki Bayou 400 Handlebar Cover 1993-1999 Dash Lights Ignition KLF400</t>
  </si>
  <si>
    <t>Kawasaki Bayou 400 Taillights 1993-1999 Tail Lights Tested Rear KLF400</t>
  </si>
  <si>
    <t>Polaris Scrambler 400 Dash Lights 1995-1997 Control Panel Cluster Make Offer</t>
  </si>
  <si>
    <t>Polaris Scrambler 400 500 Rear Brake Caliper 1998-2000 Make Offer</t>
  </si>
  <si>
    <t>Kawasaki Bayou 400 Handlebars 1993-1999 Bars Grips KLF400 Make Offer</t>
  </si>
  <si>
    <t>Kawasaki Bayou 400 Footrests 1993-1999 Heel Guards Right Left Step Foot Pegs</t>
  </si>
  <si>
    <t>Honda ATC110 Recoil Starter 1984 1985 Pull Start ATC 110 New Rope Make Offer</t>
  </si>
  <si>
    <t>Polaris Scrambler 400 500 OEM Rear Shock 1995-1998 Fox Strut Purple Spring</t>
  </si>
  <si>
    <t>Polaris Scrambler 400 500 Mud Flaps 1995-1998 Inner Fender Front Rear Right Left</t>
  </si>
  <si>
    <t>Honda TRX250R Nerf Bars AC Racing TRX 250R Make Offer</t>
  </si>
  <si>
    <t>Yamaha YT125 YT175 YTM200 YTM225 Wheel 1980-1985 Rim Front Rear Tri-Moto</t>
  </si>
  <si>
    <t>Kawasaki Bayou 400 Coolant Reservoir 1993-1999 Overflow Tank Bottle KLF400</t>
  </si>
  <si>
    <t>Honda Fourtrax 250 Crankcase 1985 1986 1987 Cases Left Right ATC250ES Big Red</t>
  </si>
  <si>
    <t>Yamaha Blaster 200 OEM Rear Brake Rotor 1988-2002 Disc Hub Bracket Make Offer</t>
  </si>
  <si>
    <t>Polaris Scrambler 400 Motor Mounts 1994-1998 Engine Transmission Bolts Brackets</t>
  </si>
  <si>
    <t>Polaris Scrambler 400 Wiring Harness 1995-1998 CDI Box Limiters Ignition 2460495</t>
  </si>
  <si>
    <t>Kawasaki Bayou 400 Starter Motor 1993-1999 Electric KLF400</t>
  </si>
  <si>
    <t>Yamaha Tri-Moto 125 Gas Tank 1980-1985 Fuel Cap Lid YT125 Make Offer</t>
  </si>
  <si>
    <t>Polaris Scrambler 400 500 4x4 Front Shocks 1995-1997 Struts Hubstrut Right Left</t>
  </si>
  <si>
    <t>Kawasaki Bayou 300 400 4x4 Rear Differential 1989-2004 Diff Final Drive Gear</t>
  </si>
  <si>
    <t>Polaris 250 300 350L 400L Swingarm Pivot Bolts 1988-1999 Trail Blazer Magnum</t>
  </si>
  <si>
    <t>Polaris Scrambler 400 Stator Cover 1996-1998 Water Pump Sport Xpress 300</t>
  </si>
  <si>
    <t>Polaris Scrambler 400 Crankshaft Nut 1990-2003 Crank Slit 300 Xplorer 400L</t>
  </si>
  <si>
    <t>Honda TRX300EX Crankshaft 1993-2009 Crank TRX 300EX 300X Make Offer</t>
  </si>
  <si>
    <t>Polaris 300 400 500 OEM Rear Brake Caliper 1995-1999 Scrambler Xpress Sportsman</t>
  </si>
  <si>
    <t>Honda TRX300EX Transmission 1993-2006 Gears Forks Shift Shaft 300EX Make Offer</t>
  </si>
  <si>
    <t>Kawasaki Bayou 400 Rear Hand Brake Lever 1993-1999 Cable Parking KLF400</t>
  </si>
  <si>
    <t>Polaris Scrambler 400 Rear Axle Hubs 1992-2004 Sportsman Trail Boss 250 300 350L</t>
  </si>
  <si>
    <t>Polaris 350L 400L Radiator 1990-1996 Hoses Trail Boss Big Sportsman Sport 400</t>
  </si>
  <si>
    <t>Polaris Scrambler 400 500 Combo Switch 1996-2000 Kill Left Handlebar Xplorer</t>
  </si>
  <si>
    <t>Kawasaki Bayou 400 Wiring Harness 1993 1994 1995 Main Electrical Coil Make Offer</t>
  </si>
  <si>
    <t>Polaris Scrambler 400 500 Rear Brake Lever 1995 1996 1997 Rod Make Offer</t>
  </si>
  <si>
    <t>Polaris Scrambler 400 Output Shaft Bearing 1993-1999 Transmission Plate 1590237</t>
  </si>
  <si>
    <t>Honda Foreman 400 Front Driveshaft 1995 1996 1997 Propeller Coupler Spring</t>
  </si>
  <si>
    <t>Kawasaki Bayou 400 Cylinder Piston 1993-2002 Jug Prairie KLF400 Make Offer</t>
  </si>
  <si>
    <t>Yamaha Blaster 200 Moose Racing Front Bumper All Years Grab Bar Make Offer</t>
  </si>
  <si>
    <t>Kawasaki Bayou 400 Kickstart Ratchet 1993-1999 Shaft Spring Gear KLF400</t>
  </si>
  <si>
    <t>Yamaha Tri-Moto 125 Front Axle Hub 1980-1985 Complete YT125 Make Offer</t>
  </si>
  <si>
    <t>Honda Foreman 400 450 Crankshaft 1995-2004 Balancer Crank Make Offer</t>
  </si>
  <si>
    <t>Honda Foreman 400 450 Front Right Fender Mudflap 1995-2004 Lower Splash Guard</t>
  </si>
  <si>
    <t>Honda Foreman 400 450 OEM Rear Fender Flares 1995-2004 Outer Trim Left Right</t>
  </si>
  <si>
    <t>Kawasaki Bayou 400 Cylinder Head 1993-1998 Cover Prairie KLF400 Make Offer</t>
  </si>
  <si>
    <t>Kawasaki Bayou 300 400 4x4 Rear Brake Drum Panel 1993-2004 Hub Right Side</t>
  </si>
  <si>
    <t>Honda TRX300EX Crankcase 1993-2006 Center Cases Left Right 300EX Make Offer</t>
  </si>
  <si>
    <t>Polaris Scrambler 400 Motor Mounts 1998-2002 Engine Brackets Transmission Bolts</t>
  </si>
  <si>
    <t>Honda Fourtrax 250 Front J-Arms 1985-1987 Control Right Left Hinge Bar TRX250</t>
  </si>
  <si>
    <t>Honda Foreman 400 450 OEM Gas Tank 1995-2004 Fuel Make Offer</t>
  </si>
  <si>
    <t>Kawasaki Bayou 400 Exhaust Rocker Arm 1995-2002 Prairie KLF400 Make Offer</t>
  </si>
  <si>
    <t>Polaris Scrambler 400 Downtube 1996 Intake Duct Coolant Reservoir Inlet Xplorer</t>
  </si>
  <si>
    <t>Honda Foreman 400 450 Recoil Pull Starter 1995-2004 Pullstart Puller Cage</t>
  </si>
  <si>
    <t>Honda Foreman 400 OEM Cylinder Head 1995-2003 Complete Rockers Cover Make Offer</t>
  </si>
  <si>
    <t>Honda Foreman 400 Thumb Throttle 1995-2003 Cable TRX400FW Make Offer</t>
  </si>
  <si>
    <t>Honda Foreman 400 450 Rear Rack 1995-2004 Carrier Luggage Cargo Utility</t>
  </si>
  <si>
    <t>Suzuki Eiger KingQuad 400 OEM Fan Switch 2002-2010 Sensor Radiator Oil Light</t>
  </si>
  <si>
    <t>Honda Foreman 400 Cylinder Core 1995-2003 Stock Bore 86MM Jug TRX400FW</t>
  </si>
  <si>
    <t>Polaris Scrambler 400 Cylinder Core 1996-1999 Stock 83MM Jug Xplorer Sport 400L</t>
  </si>
  <si>
    <t>Honda Foreman 400 450 Clutch Cover 1995-2004 Front Make Offer</t>
  </si>
  <si>
    <t>Yamaha Tri-Moto 125 Front Forks 1980-1985 Fork YT125 Make Offer</t>
  </si>
  <si>
    <t>Yamaha Tri-Moto 125 Thumb Throttle 1980 1981 1982 Handle Switch YT125 Make Offer</t>
  </si>
  <si>
    <t>Honda Foreman 400 450 Starter Reduction Gears 1995-2004 Idle Limiter Shaft</t>
  </si>
  <si>
    <t>Honda Foreman 400 Front Bumper 1995-2003 Guard Carry Pipe Make Offer</t>
  </si>
  <si>
    <t>Honda Foreman 400 450 Rear Driveshaft 1995-2004 Yoke Joint Propeller Make Offer</t>
  </si>
  <si>
    <t>Kawasaki Bayou 400 Centrifugal Clutch 1993-1999 Wet Secondary KLF400 Make Offer</t>
  </si>
  <si>
    <t>Honda Foreman 400 Wiring Harness 1995 1996 Parts Or Repair Loom Electrical Wire</t>
  </si>
  <si>
    <t>Polaris 250 300 400 Rear Brake Hard Line 1994-1999 Hose Hand Foot 1930751</t>
  </si>
  <si>
    <t>Kawasaki Bayou 400 Front Driveshaft Coupling 1993 1994 1995 Yoke Coupler</t>
  </si>
  <si>
    <t>Kawasaki Bayou 400 Camshaft Sprocket 1993-1999 Decompressor Decomp Weight KLF400</t>
  </si>
  <si>
    <t>Honda Foreman 400 Complete Headlight 1995 1996 Main Upper Bracket Make Offer</t>
  </si>
  <si>
    <t>Polaris Scrambler 400 500 OEM Handlebars 1995-1999 Handle Bars Make Offer</t>
  </si>
  <si>
    <t>Kawasaki Bayou 300 Crankcase 1986 1987 1988 Engine Cases Motor Left Right KLF300</t>
  </si>
  <si>
    <t>Honda Foreman 400 450 OEM Foot Shift Lever 1995-2004 Shifter Gearshift Pedal</t>
  </si>
  <si>
    <t>Honda Foreman 400 450 Primary Clutch 1995-2004 Change Basket Make Offer</t>
  </si>
  <si>
    <t>Polaris Predator 500 Camshaft Tower 2003-2007 Cam Cover Holder Cap Make Offer</t>
  </si>
  <si>
    <t>Honda Foreman 400 Heel Splash Guards 1995-2003 Left Right Lower Make Offer</t>
  </si>
  <si>
    <t>Honda TRX300EX Oil Pump 1993-2006 Pipes Lines Screen 300EX Make Offer</t>
  </si>
  <si>
    <t>Honda Foreman 400 450 Right Front Inner Fender 1995-2004 Splash Guard Make Offer</t>
  </si>
  <si>
    <t>Polaris Scrambler 400 Front Chain Guard 1992-1996 Shield Xplorer Sportsman</t>
  </si>
  <si>
    <t>Honda Foreman 450 500 OEM Rear Wheel 12x7.5 Rim Rincon Make Offer</t>
  </si>
  <si>
    <t>Honda Foreman 400 450 Swingarm 1995-2001 Swing Arm Boot Swinger Pivot Bolts</t>
  </si>
  <si>
    <t>Honda TRX250EX Starter Gears 2003-2020 Recon 250 Idle Reduction Make Offer</t>
  </si>
  <si>
    <t>Yamaha Tri-Moto 125 Complete Clutch 1980-1985 Basket YT125 Make Offer</t>
  </si>
  <si>
    <t>Honda ATC110 TRX125 OEM Keihin Carburetor Lot Of 6 Carb Parts Make Offer</t>
  </si>
  <si>
    <t>Honda Foreman 400 450 Rear Tool Box 1995-2004 Toolbox Trunk Make Offer</t>
  </si>
  <si>
    <t>Polaris Scrambler 400 500 Rear Drive Chain Sprocket 1999-2004 Locking Hub Guard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</si>
</sst>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;@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sz val="10"/>
      <color indexed="8"/>
      <name val="Arial"/>
      <family val="2"/>
    </font>
    <font>
      <b/>
      <sz val="11"/>
      <color indexed="8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9" fillId="0" borderId="0"/>
  </cellStyleXfs>
  <cellXfs count="21">
    <xf numFmtId="0" fontId="0" fillId="0" borderId="0" xfId="0"/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0" fontId="16" fillId="0" borderId="0" xfId="0" applyFont="1" applyAlignment="1">
      <alignment horizontal="left"/>
    </xf>
    <xf numFmtId="2" fontId="16" fillId="0" borderId="0" xfId="0" applyNumberFormat="1" applyFont="1" applyAlignment="1">
      <alignment horizontal="left"/>
    </xf>
    <xf numFmtId="2" fontId="0" fillId="0" borderId="0" xfId="0" applyNumberFormat="1" applyAlignment="1">
      <alignment horizontal="left"/>
    </xf>
    <xf numFmtId="2" fontId="0" fillId="0" borderId="0" xfId="0" applyNumberFormat="1"/>
    <xf numFmtId="14" fontId="0" fillId="0" borderId="0" xfId="0" applyNumberFormat="1" applyFont="1" applyAlignment="1">
      <alignment horizontal="left"/>
    </xf>
    <xf numFmtId="0" fontId="0" fillId="0" borderId="0" xfId="0" applyFont="1" applyAlignment="1">
      <alignment horizontal="left"/>
    </xf>
    <xf numFmtId="2" fontId="0" fillId="0" borderId="0" xfId="0" applyNumberFormat="1" applyFont="1" applyAlignment="1">
      <alignment horizontal="left"/>
    </xf>
    <xf numFmtId="0" fontId="0" fillId="0" borderId="0" xfId="0" applyAlignment="1">
      <alignment horizontal="right"/>
    </xf>
    <xf numFmtId="0" fontId="0" fillId="0" borderId="0" xfId="0" applyAlignment="1">
      <alignment horizontal="left" vertical="center"/>
    </xf>
    <xf numFmtId="4" fontId="0" fillId="0" borderId="0" xfId="0" applyNumberFormat="1" applyAlignment="1">
      <alignment horizontal="right"/>
    </xf>
    <xf numFmtId="4" fontId="0" fillId="0" borderId="0" xfId="0" applyNumberFormat="1"/>
    <xf numFmtId="4" fontId="0" fillId="0" borderId="0" xfId="0" applyNumberFormat="1" applyAlignment="1">
      <alignment horizontal="left"/>
    </xf>
    <xf numFmtId="0" fontId="18" fillId="0" borderId="10" xfId="42" applyFont="1" applyFill="1" applyBorder="1" applyAlignment="1">
      <alignment horizontal="left" wrapText="1"/>
    </xf>
    <xf numFmtId="0" fontId="20" fillId="0" borderId="10" xfId="42" applyFont="1" applyFill="1" applyBorder="1" applyAlignment="1">
      <alignment horizontal="left" wrapText="1"/>
    </xf>
    <xf numFmtId="14" fontId="16" fillId="0" borderId="0" xfId="0" applyNumberFormat="1" applyFont="1" applyAlignment="1">
      <alignment horizontal="left"/>
    </xf>
    <xf numFmtId="14" fontId="0" fillId="0" borderId="0" xfId="0" applyNumberFormat="1"/>
    <xf numFmtId="164" fontId="0" fillId="0" borderId="0" xfId="0" applyNumberFormat="1" applyAlignment="1">
      <alignment horizontal="left"/>
    </xf>
    <xf numFmtId="0" fontId="16" fillId="0" borderId="0" xfId="0" applyFont="1" applyAlignment="1">
      <alignment horizont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_Shipping costs" xfId="42" xr:uid="{A6675C80-9337-4A23-9A8F-C43DA29E58C3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0"/>
  <sheetViews>
    <sheetView tabSelected="1" workbookViewId="0">
      <selection activeCell="B20" sqref="B20"/>
    </sheetView>
  </sheetViews>
  <sheetFormatPr defaultRowHeight="14.25" x14ac:dyDescent="0.45"/>
  <cols>
    <col min="1" max="1" width="24.1328125" style="10" customWidth="1"/>
    <col min="2" max="2" width="14" customWidth="1"/>
  </cols>
  <sheetData>
    <row r="1" spans="1:2" x14ac:dyDescent="0.45">
      <c r="A1" s="1"/>
    </row>
    <row r="2" spans="1:2" x14ac:dyDescent="0.45">
      <c r="A2" s="11" t="s">
        <v>9</v>
      </c>
      <c r="B2" s="12">
        <f>('Items Bought for Resale'!E16)</f>
        <v>4190</v>
      </c>
    </row>
    <row r="3" spans="1:2" x14ac:dyDescent="0.45">
      <c r="A3" s="11"/>
      <c r="B3" s="12"/>
    </row>
    <row r="4" spans="1:2" x14ac:dyDescent="0.45">
      <c r="A4" s="1" t="s">
        <v>24</v>
      </c>
      <c r="B4" s="13">
        <f>('eBay Store Fees'!E15)</f>
        <v>263.39999999999992</v>
      </c>
    </row>
    <row r="5" spans="1:2" x14ac:dyDescent="0.45">
      <c r="A5" s="1"/>
      <c r="B5" s="13"/>
    </row>
    <row r="6" spans="1:2" x14ac:dyDescent="0.45">
      <c r="A6" s="1" t="s">
        <v>23</v>
      </c>
      <c r="B6" s="13">
        <f>('eBay Selling Fees And Refunds'!E549)*-1 + ('eBay Selling Fees And Refunds'!F549)*-1</f>
        <v>3062.9699999999993</v>
      </c>
    </row>
    <row r="7" spans="1:2" x14ac:dyDescent="0.45">
      <c r="A7" s="1"/>
      <c r="B7" s="13"/>
    </row>
    <row r="8" spans="1:2" x14ac:dyDescent="0.45">
      <c r="A8" s="1" t="s">
        <v>50</v>
      </c>
      <c r="B8" s="13">
        <f>('eBay Selling Fees And Refunds'!G549)*-1</f>
        <v>420.1</v>
      </c>
    </row>
    <row r="9" spans="1:2" x14ac:dyDescent="0.45">
      <c r="A9" s="1"/>
      <c r="B9" s="13"/>
    </row>
    <row r="10" spans="1:2" x14ac:dyDescent="0.45">
      <c r="A10" s="1" t="s">
        <v>10</v>
      </c>
      <c r="B10" s="13">
        <f>('Shipping costs'!C519)*-1</f>
        <v>5136.5499999999975</v>
      </c>
    </row>
    <row r="11" spans="1:2" x14ac:dyDescent="0.45">
      <c r="A11" s="1"/>
      <c r="B11" s="13"/>
    </row>
    <row r="12" spans="1:2" x14ac:dyDescent="0.45">
      <c r="A12" s="1" t="s">
        <v>12</v>
      </c>
      <c r="B12" s="13">
        <f>('Shipping supplies'!C12)*-1</f>
        <v>257.65999999999997</v>
      </c>
    </row>
    <row r="14" spans="1:2" x14ac:dyDescent="0.45">
      <c r="A14" s="1" t="s">
        <v>11</v>
      </c>
      <c r="B14" s="13">
        <f>(Mileage!F16)</f>
        <v>312.435</v>
      </c>
    </row>
    <row r="15" spans="1:2" x14ac:dyDescent="0.45">
      <c r="A15" s="1"/>
      <c r="B15" s="13"/>
    </row>
    <row r="16" spans="1:2" x14ac:dyDescent="0.45">
      <c r="A16" t="s">
        <v>13</v>
      </c>
      <c r="B16" s="6">
        <f>(Internet!C15)</f>
        <v>840</v>
      </c>
    </row>
    <row r="17" spans="1:2" x14ac:dyDescent="0.45">
      <c r="A17" s="1"/>
      <c r="B17" s="13"/>
    </row>
    <row r="18" spans="1:2" x14ac:dyDescent="0.45">
      <c r="A18" s="1" t="s">
        <v>14</v>
      </c>
      <c r="B18" s="13">
        <f>(Phone!C15)</f>
        <v>792</v>
      </c>
    </row>
    <row r="19" spans="1:2" x14ac:dyDescent="0.45">
      <c r="A19" s="1"/>
      <c r="B19" s="13"/>
    </row>
    <row r="20" spans="1:2" x14ac:dyDescent="0.45">
      <c r="A20" s="1" t="s">
        <v>15</v>
      </c>
      <c r="B20" s="13">
        <f>SUM(B2:B19)</f>
        <v>15275.114999999996</v>
      </c>
    </row>
  </sheetData>
  <printOptions gridLines="1"/>
  <pageMargins left="0.7" right="0.7" top="0.75" bottom="0.75" header="0.3" footer="0.3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F48"/>
  <sheetViews>
    <sheetView workbookViewId="0">
      <pane ySplit="1" topLeftCell="A2" activePane="bottomLeft" state="frozen"/>
      <selection pane="bottomLeft"/>
    </sheetView>
  </sheetViews>
  <sheetFormatPr defaultColWidth="9.1328125" defaultRowHeight="14.25" x14ac:dyDescent="0.45"/>
  <cols>
    <col min="1" max="1" width="15.3984375" style="1" customWidth="1"/>
    <col min="2" max="2" width="52" style="1" customWidth="1"/>
    <col min="3" max="3" width="13.3984375" style="5" customWidth="1"/>
    <col min="4" max="4" width="11.86328125" style="5" customWidth="1"/>
    <col min="5" max="5" width="9.86328125" style="5" customWidth="1"/>
    <col min="6" max="16384" width="9.1328125" style="1"/>
  </cols>
  <sheetData>
    <row r="1" spans="1:5" x14ac:dyDescent="0.45">
      <c r="A1" s="3" t="s">
        <v>0</v>
      </c>
      <c r="B1" s="3" t="s">
        <v>25</v>
      </c>
      <c r="C1" s="4" t="s">
        <v>3</v>
      </c>
      <c r="D1" s="4" t="s">
        <v>4</v>
      </c>
      <c r="E1" s="4" t="s">
        <v>5</v>
      </c>
    </row>
    <row r="2" spans="1:5" s="8" customFormat="1" x14ac:dyDescent="0.45">
      <c r="A2" s="7">
        <v>44958</v>
      </c>
      <c r="B2" s="8" t="s">
        <v>55</v>
      </c>
      <c r="C2" s="9">
        <v>175</v>
      </c>
      <c r="D2" s="9">
        <v>0</v>
      </c>
      <c r="E2" s="9">
        <v>175</v>
      </c>
    </row>
    <row r="3" spans="1:5" s="8" customFormat="1" x14ac:dyDescent="0.45">
      <c r="A3" s="7">
        <v>44971</v>
      </c>
      <c r="B3" s="8" t="s">
        <v>56</v>
      </c>
      <c r="C3" s="9">
        <v>700</v>
      </c>
      <c r="D3" s="9">
        <v>0</v>
      </c>
      <c r="E3" s="9">
        <v>700</v>
      </c>
    </row>
    <row r="4" spans="1:5" x14ac:dyDescent="0.45">
      <c r="A4" s="7">
        <v>44986</v>
      </c>
      <c r="B4" s="8" t="s">
        <v>57</v>
      </c>
      <c r="C4" s="9">
        <v>600</v>
      </c>
      <c r="D4" s="9">
        <v>0</v>
      </c>
      <c r="E4" s="9">
        <v>600</v>
      </c>
    </row>
    <row r="5" spans="1:5" s="8" customFormat="1" x14ac:dyDescent="0.45">
      <c r="A5" s="7">
        <v>45047</v>
      </c>
      <c r="B5" s="8" t="s">
        <v>58</v>
      </c>
      <c r="C5" s="9">
        <v>275</v>
      </c>
      <c r="D5" s="9">
        <v>0</v>
      </c>
      <c r="E5" s="9">
        <v>275</v>
      </c>
    </row>
    <row r="6" spans="1:5" x14ac:dyDescent="0.45">
      <c r="A6" s="7">
        <v>45066</v>
      </c>
      <c r="B6" s="1" t="s">
        <v>65</v>
      </c>
      <c r="C6" s="9">
        <v>300</v>
      </c>
      <c r="D6" s="9">
        <v>0</v>
      </c>
      <c r="E6" s="9">
        <v>300</v>
      </c>
    </row>
    <row r="7" spans="1:5" x14ac:dyDescent="0.45">
      <c r="A7" s="7">
        <v>45078</v>
      </c>
      <c r="B7" s="1" t="s">
        <v>59</v>
      </c>
      <c r="C7" s="9">
        <v>140</v>
      </c>
      <c r="D7" s="9">
        <v>0</v>
      </c>
      <c r="E7" s="9">
        <v>140</v>
      </c>
    </row>
    <row r="8" spans="1:5" x14ac:dyDescent="0.45">
      <c r="A8" s="7">
        <v>45108</v>
      </c>
      <c r="B8" s="1" t="s">
        <v>60</v>
      </c>
      <c r="C8" s="9">
        <v>250</v>
      </c>
      <c r="D8" s="9">
        <v>0</v>
      </c>
      <c r="E8" s="9">
        <v>250</v>
      </c>
    </row>
    <row r="9" spans="1:5" x14ac:dyDescent="0.45">
      <c r="A9" s="7">
        <v>45139</v>
      </c>
      <c r="B9" s="1" t="s">
        <v>61</v>
      </c>
      <c r="C9" s="9">
        <v>350</v>
      </c>
      <c r="D9" s="9">
        <v>0</v>
      </c>
      <c r="E9" s="9">
        <v>350</v>
      </c>
    </row>
    <row r="10" spans="1:5" x14ac:dyDescent="0.45">
      <c r="A10" s="7">
        <v>45148</v>
      </c>
      <c r="B10" s="1" t="s">
        <v>62</v>
      </c>
      <c r="C10" s="9">
        <v>150</v>
      </c>
      <c r="D10" s="9">
        <v>0</v>
      </c>
      <c r="E10" s="9">
        <v>150</v>
      </c>
    </row>
    <row r="11" spans="1:5" x14ac:dyDescent="0.45">
      <c r="A11" s="7">
        <v>45170</v>
      </c>
      <c r="B11" s="1" t="s">
        <v>63</v>
      </c>
      <c r="C11" s="9">
        <v>400</v>
      </c>
      <c r="D11" s="9">
        <v>0</v>
      </c>
      <c r="E11" s="9">
        <v>400</v>
      </c>
    </row>
    <row r="12" spans="1:5" x14ac:dyDescent="0.45">
      <c r="A12" s="7">
        <v>45231</v>
      </c>
      <c r="B12" s="1" t="s">
        <v>64</v>
      </c>
      <c r="C12" s="9">
        <v>300</v>
      </c>
      <c r="D12" s="9">
        <v>0</v>
      </c>
      <c r="E12" s="9">
        <v>300</v>
      </c>
    </row>
    <row r="13" spans="1:5" x14ac:dyDescent="0.45">
      <c r="A13" s="7">
        <v>45261</v>
      </c>
      <c r="B13" s="1" t="s">
        <v>66</v>
      </c>
      <c r="C13" s="9">
        <v>350</v>
      </c>
      <c r="D13" s="9">
        <v>0</v>
      </c>
      <c r="E13" s="9">
        <v>350</v>
      </c>
    </row>
    <row r="14" spans="1:5" x14ac:dyDescent="0.45">
      <c r="A14" s="7">
        <v>45287</v>
      </c>
      <c r="B14" s="1" t="s">
        <v>67</v>
      </c>
      <c r="C14" s="9">
        <v>200</v>
      </c>
      <c r="D14" s="9">
        <v>0</v>
      </c>
      <c r="E14" s="9">
        <v>200</v>
      </c>
    </row>
    <row r="15" spans="1:5" x14ac:dyDescent="0.45">
      <c r="A15" s="7"/>
      <c r="C15" s="9"/>
      <c r="D15" s="9"/>
      <c r="E15" s="9"/>
    </row>
    <row r="16" spans="1:5" x14ac:dyDescent="0.45">
      <c r="A16" s="2"/>
      <c r="B16" s="3" t="s">
        <v>6</v>
      </c>
      <c r="C16" s="5">
        <f>SUM(C2:C14)</f>
        <v>4190</v>
      </c>
      <c r="D16" s="5">
        <f>SUM(D2:D14)</f>
        <v>0</v>
      </c>
      <c r="E16" s="5">
        <f>SUM(E2:E14)</f>
        <v>4190</v>
      </c>
    </row>
    <row r="17" spans="1:5" x14ac:dyDescent="0.45">
      <c r="A17" s="2"/>
    </row>
    <row r="18" spans="1:5" x14ac:dyDescent="0.45">
      <c r="A18" s="2"/>
    </row>
    <row r="19" spans="1:5" x14ac:dyDescent="0.45">
      <c r="A19" s="2"/>
    </row>
    <row r="20" spans="1:5" x14ac:dyDescent="0.45">
      <c r="A20" s="2"/>
    </row>
    <row r="21" spans="1:5" x14ac:dyDescent="0.45">
      <c r="A21" s="2"/>
    </row>
    <row r="22" spans="1:5" x14ac:dyDescent="0.45">
      <c r="A22" s="2"/>
    </row>
    <row r="23" spans="1:5" x14ac:dyDescent="0.45">
      <c r="A23" s="2"/>
    </row>
    <row r="24" spans="1:5" x14ac:dyDescent="0.45">
      <c r="A24" s="2"/>
    </row>
    <row r="25" spans="1:5" x14ac:dyDescent="0.45">
      <c r="A25" s="2"/>
    </row>
    <row r="26" spans="1:5" x14ac:dyDescent="0.45">
      <c r="A26" s="2"/>
    </row>
    <row r="27" spans="1:5" x14ac:dyDescent="0.45">
      <c r="A27" s="2"/>
    </row>
    <row r="28" spans="1:5" x14ac:dyDescent="0.45">
      <c r="A28" s="2"/>
    </row>
    <row r="29" spans="1:5" x14ac:dyDescent="0.45">
      <c r="A29" s="2"/>
    </row>
    <row r="30" spans="1:5" x14ac:dyDescent="0.45">
      <c r="A30" s="2"/>
    </row>
    <row r="31" spans="1:5" x14ac:dyDescent="0.45">
      <c r="A31" s="2"/>
    </row>
    <row r="32" spans="1:5" x14ac:dyDescent="0.45">
      <c r="A32" s="7"/>
      <c r="C32" s="9"/>
      <c r="E32" s="9"/>
    </row>
    <row r="33" spans="1:6" x14ac:dyDescent="0.45">
      <c r="A33" s="2"/>
      <c r="F33" s="5"/>
    </row>
    <row r="34" spans="1:6" x14ac:dyDescent="0.45">
      <c r="A34" s="7"/>
      <c r="B34" s="8"/>
      <c r="F34" s="5"/>
    </row>
    <row r="35" spans="1:6" x14ac:dyDescent="0.45">
      <c r="A35" s="2"/>
    </row>
    <row r="36" spans="1:6" x14ac:dyDescent="0.45">
      <c r="A36" s="2"/>
    </row>
    <row r="37" spans="1:6" x14ac:dyDescent="0.45">
      <c r="A37" s="2"/>
    </row>
    <row r="38" spans="1:6" x14ac:dyDescent="0.45">
      <c r="A38" s="2"/>
    </row>
    <row r="39" spans="1:6" x14ac:dyDescent="0.45">
      <c r="A39" s="2"/>
    </row>
    <row r="40" spans="1:6" x14ac:dyDescent="0.45">
      <c r="A40" s="2"/>
      <c r="B40" s="8"/>
    </row>
    <row r="41" spans="1:6" x14ac:dyDescent="0.45">
      <c r="A41" s="2"/>
    </row>
    <row r="42" spans="1:6" x14ac:dyDescent="0.45">
      <c r="A42" s="2"/>
    </row>
    <row r="43" spans="1:6" x14ac:dyDescent="0.45">
      <c r="A43" s="2"/>
    </row>
    <row r="44" spans="1:6" x14ac:dyDescent="0.45">
      <c r="A44" s="2"/>
    </row>
    <row r="45" spans="1:6" x14ac:dyDescent="0.45">
      <c r="A45" s="2"/>
    </row>
    <row r="46" spans="1:6" x14ac:dyDescent="0.45">
      <c r="A46" s="2"/>
    </row>
    <row r="47" spans="1:6" x14ac:dyDescent="0.45">
      <c r="A47" s="2"/>
    </row>
    <row r="48" spans="1:6" x14ac:dyDescent="0.45">
      <c r="B48" s="3"/>
      <c r="C48" s="14"/>
      <c r="D48" s="14"/>
      <c r="E48" s="14"/>
    </row>
  </sheetData>
  <printOptions gridLines="1"/>
  <pageMargins left="0.7" right="0.7" top="0.75" bottom="0.75" header="0.3" footer="0.3"/>
  <pageSetup scale="62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E15"/>
  <sheetViews>
    <sheetView workbookViewId="0">
      <pane ySplit="1" topLeftCell="A2" activePane="bottomLeft" state="frozen"/>
      <selection pane="bottomLeft"/>
    </sheetView>
  </sheetViews>
  <sheetFormatPr defaultRowHeight="14.25" x14ac:dyDescent="0.45"/>
  <cols>
    <col min="1" max="1" width="15.59765625" customWidth="1"/>
    <col min="2" max="2" width="40.1328125" customWidth="1"/>
    <col min="3" max="3" width="12.73046875" style="6" customWidth="1"/>
    <col min="4" max="4" width="11.1328125" style="6" customWidth="1"/>
    <col min="5" max="5" width="11.265625" style="6" customWidth="1"/>
  </cols>
  <sheetData>
    <row r="1" spans="1:5" x14ac:dyDescent="0.45">
      <c r="A1" s="3" t="s">
        <v>0</v>
      </c>
      <c r="B1" s="3" t="s">
        <v>2</v>
      </c>
      <c r="C1" s="4" t="s">
        <v>3</v>
      </c>
      <c r="D1" s="4" t="s">
        <v>4</v>
      </c>
      <c r="E1" s="4" t="s">
        <v>5</v>
      </c>
    </row>
    <row r="2" spans="1:5" x14ac:dyDescent="0.45">
      <c r="A2" s="2">
        <v>44927</v>
      </c>
      <c r="B2" s="2" t="s">
        <v>19</v>
      </c>
      <c r="C2" s="5">
        <v>21.95</v>
      </c>
      <c r="D2" s="5">
        <v>0</v>
      </c>
      <c r="E2" s="5">
        <v>21.95</v>
      </c>
    </row>
    <row r="3" spans="1:5" x14ac:dyDescent="0.45">
      <c r="A3" s="2">
        <v>44958</v>
      </c>
      <c r="B3" s="2" t="s">
        <v>19</v>
      </c>
      <c r="C3" s="5">
        <v>21.95</v>
      </c>
      <c r="D3" s="5">
        <v>0</v>
      </c>
      <c r="E3" s="5">
        <v>21.95</v>
      </c>
    </row>
    <row r="4" spans="1:5" x14ac:dyDescent="0.45">
      <c r="A4" s="2">
        <v>44986</v>
      </c>
      <c r="B4" s="2" t="s">
        <v>19</v>
      </c>
      <c r="C4" s="5">
        <v>21.95</v>
      </c>
      <c r="D4" s="5">
        <v>0</v>
      </c>
      <c r="E4" s="5">
        <v>21.95</v>
      </c>
    </row>
    <row r="5" spans="1:5" x14ac:dyDescent="0.45">
      <c r="A5" s="2">
        <v>45017</v>
      </c>
      <c r="B5" s="2" t="s">
        <v>19</v>
      </c>
      <c r="C5" s="5">
        <v>21.95</v>
      </c>
      <c r="D5" s="5">
        <v>0</v>
      </c>
      <c r="E5" s="5">
        <v>21.95</v>
      </c>
    </row>
    <row r="6" spans="1:5" x14ac:dyDescent="0.45">
      <c r="A6" s="2">
        <v>45047</v>
      </c>
      <c r="B6" s="2" t="s">
        <v>19</v>
      </c>
      <c r="C6" s="5">
        <v>21.95</v>
      </c>
      <c r="D6" s="5">
        <v>0</v>
      </c>
      <c r="E6" s="5">
        <v>21.95</v>
      </c>
    </row>
    <row r="7" spans="1:5" x14ac:dyDescent="0.45">
      <c r="A7" s="2">
        <v>45078</v>
      </c>
      <c r="B7" s="2" t="s">
        <v>19</v>
      </c>
      <c r="C7" s="5">
        <v>21.95</v>
      </c>
      <c r="D7" s="5">
        <v>0</v>
      </c>
      <c r="E7" s="5">
        <v>21.95</v>
      </c>
    </row>
    <row r="8" spans="1:5" x14ac:dyDescent="0.45">
      <c r="A8" s="2">
        <v>45108</v>
      </c>
      <c r="B8" s="2" t="s">
        <v>19</v>
      </c>
      <c r="C8" s="5">
        <v>21.95</v>
      </c>
      <c r="D8" s="5">
        <v>0</v>
      </c>
      <c r="E8" s="5">
        <v>21.95</v>
      </c>
    </row>
    <row r="9" spans="1:5" x14ac:dyDescent="0.45">
      <c r="A9" s="2">
        <v>45139</v>
      </c>
      <c r="B9" s="2" t="s">
        <v>19</v>
      </c>
      <c r="C9" s="5">
        <v>21.95</v>
      </c>
      <c r="D9" s="5">
        <v>0</v>
      </c>
      <c r="E9" s="5">
        <v>21.95</v>
      </c>
    </row>
    <row r="10" spans="1:5" x14ac:dyDescent="0.45">
      <c r="A10" s="2">
        <v>45170</v>
      </c>
      <c r="B10" s="2" t="s">
        <v>19</v>
      </c>
      <c r="C10" s="5">
        <v>21.95</v>
      </c>
      <c r="D10" s="5">
        <v>0</v>
      </c>
      <c r="E10" s="5">
        <v>21.95</v>
      </c>
    </row>
    <row r="11" spans="1:5" x14ac:dyDescent="0.45">
      <c r="A11" s="2">
        <v>45200</v>
      </c>
      <c r="B11" s="2" t="s">
        <v>19</v>
      </c>
      <c r="C11" s="5">
        <v>21.95</v>
      </c>
      <c r="D11" s="5">
        <v>0</v>
      </c>
      <c r="E11" s="5">
        <v>21.95</v>
      </c>
    </row>
    <row r="12" spans="1:5" x14ac:dyDescent="0.45">
      <c r="A12" s="2">
        <v>45231</v>
      </c>
      <c r="B12" s="2" t="s">
        <v>19</v>
      </c>
      <c r="C12" s="5">
        <v>21.95</v>
      </c>
      <c r="D12" s="5">
        <v>0</v>
      </c>
      <c r="E12" s="5">
        <v>21.95</v>
      </c>
    </row>
    <row r="13" spans="1:5" x14ac:dyDescent="0.45">
      <c r="A13" s="2">
        <v>45261</v>
      </c>
      <c r="B13" s="2" t="s">
        <v>19</v>
      </c>
      <c r="C13" s="5">
        <v>21.95</v>
      </c>
      <c r="D13" s="5">
        <v>0</v>
      </c>
      <c r="E13" s="5">
        <v>21.95</v>
      </c>
    </row>
    <row r="14" spans="1:5" x14ac:dyDescent="0.45">
      <c r="A14" s="2"/>
      <c r="B14" s="2"/>
      <c r="C14" s="5"/>
      <c r="D14" s="5"/>
      <c r="E14" s="5"/>
    </row>
    <row r="15" spans="1:5" x14ac:dyDescent="0.45">
      <c r="B15" s="3" t="s">
        <v>6</v>
      </c>
      <c r="C15" s="14">
        <f>SUM(C2:C14)</f>
        <v>263.39999999999992</v>
      </c>
      <c r="D15" s="14">
        <f>SUM(D2:D14)</f>
        <v>0</v>
      </c>
      <c r="E15" s="14">
        <f>SUM(E2:E14)</f>
        <v>263.39999999999992</v>
      </c>
    </row>
  </sheetData>
  <printOptions gridLines="1"/>
  <pageMargins left="0.7" right="0.7" top="0.75" bottom="0.75" header="0.3" footer="0.3"/>
  <pageSetup scale="91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8D7FD-5DA8-4893-AED6-E812B4DCBFFB}">
  <dimension ref="A1:H588"/>
  <sheetViews>
    <sheetView workbookViewId="0">
      <pane ySplit="1" topLeftCell="A2" activePane="bottomLeft" state="frozen"/>
      <selection pane="bottomLeft"/>
    </sheetView>
  </sheetViews>
  <sheetFormatPr defaultRowHeight="14.25" x14ac:dyDescent="0.45"/>
  <cols>
    <col min="1" max="1" width="15" style="18" customWidth="1"/>
    <col min="2" max="2" width="9.265625" customWidth="1"/>
    <col min="3" max="3" width="75.46484375" customWidth="1"/>
    <col min="4" max="4" width="11.59765625" customWidth="1"/>
    <col min="5" max="5" width="19.73046875" customWidth="1"/>
    <col min="6" max="6" width="22.19921875" customWidth="1"/>
    <col min="7" max="7" width="14.1328125" customWidth="1"/>
  </cols>
  <sheetData>
    <row r="1" spans="1:8" x14ac:dyDescent="0.45">
      <c r="A1" s="17" t="s">
        <v>22</v>
      </c>
      <c r="B1" s="3" t="s">
        <v>2</v>
      </c>
      <c r="C1" s="3" t="s">
        <v>82</v>
      </c>
      <c r="D1" s="4" t="s">
        <v>3</v>
      </c>
      <c r="E1" s="4" t="s">
        <v>83</v>
      </c>
      <c r="F1" s="4" t="s">
        <v>84</v>
      </c>
      <c r="G1" s="4" t="s">
        <v>26</v>
      </c>
      <c r="H1" s="4" t="s">
        <v>5</v>
      </c>
    </row>
    <row r="2" spans="1:8" x14ac:dyDescent="0.45">
      <c r="A2" s="19">
        <v>44928</v>
      </c>
      <c r="B2" s="1" t="s">
        <v>85</v>
      </c>
      <c r="C2" s="1" t="s">
        <v>86</v>
      </c>
      <c r="D2" s="5">
        <v>19</v>
      </c>
      <c r="E2" s="5">
        <v>-0.3</v>
      </c>
      <c r="F2" s="5">
        <v>-2.23</v>
      </c>
      <c r="G2" s="5">
        <v>0</v>
      </c>
      <c r="H2" s="5">
        <f>D2+E2+F2</f>
        <v>16.47</v>
      </c>
    </row>
    <row r="3" spans="1:8" x14ac:dyDescent="0.45">
      <c r="A3" s="19">
        <v>44930</v>
      </c>
      <c r="B3" s="1" t="s">
        <v>85</v>
      </c>
      <c r="C3" s="1" t="s">
        <v>87</v>
      </c>
      <c r="D3" s="5">
        <v>19</v>
      </c>
      <c r="E3" s="5">
        <v>-0.3</v>
      </c>
      <c r="F3" s="5">
        <v>-2.2200000000000002</v>
      </c>
      <c r="G3" s="5">
        <v>0</v>
      </c>
      <c r="H3" s="5">
        <f t="shared" ref="H3:H66" si="0">D3+E3+F3</f>
        <v>16.48</v>
      </c>
    </row>
    <row r="4" spans="1:8" x14ac:dyDescent="0.45">
      <c r="A4" s="19">
        <v>44932</v>
      </c>
      <c r="B4" s="1" t="s">
        <v>85</v>
      </c>
      <c r="C4" s="1" t="s">
        <v>88</v>
      </c>
      <c r="D4" s="5">
        <v>55</v>
      </c>
      <c r="E4" s="5">
        <v>-0.3</v>
      </c>
      <c r="F4" s="5">
        <v>-6.47</v>
      </c>
      <c r="G4" s="5">
        <v>0</v>
      </c>
      <c r="H4" s="5">
        <f t="shared" si="0"/>
        <v>48.230000000000004</v>
      </c>
    </row>
    <row r="5" spans="1:8" x14ac:dyDescent="0.45">
      <c r="A5" s="19">
        <v>44932</v>
      </c>
      <c r="B5" s="1" t="s">
        <v>85</v>
      </c>
      <c r="C5" s="1" t="s">
        <v>89</v>
      </c>
      <c r="D5" s="5">
        <v>19</v>
      </c>
      <c r="E5" s="5">
        <v>-0.3</v>
      </c>
      <c r="F5" s="5">
        <v>-2.2400000000000002</v>
      </c>
      <c r="G5" s="5">
        <v>0</v>
      </c>
      <c r="H5" s="5">
        <f t="shared" si="0"/>
        <v>16.46</v>
      </c>
    </row>
    <row r="6" spans="1:8" x14ac:dyDescent="0.45">
      <c r="A6" s="19">
        <v>44933</v>
      </c>
      <c r="B6" s="1" t="s">
        <v>85</v>
      </c>
      <c r="C6" s="1" t="s">
        <v>90</v>
      </c>
      <c r="D6" s="5">
        <v>80</v>
      </c>
      <c r="E6" s="5">
        <v>-0.3</v>
      </c>
      <c r="F6" s="5">
        <v>-9.33</v>
      </c>
      <c r="G6" s="5">
        <v>0</v>
      </c>
      <c r="H6" s="5">
        <f t="shared" si="0"/>
        <v>70.37</v>
      </c>
    </row>
    <row r="7" spans="1:8" x14ac:dyDescent="0.45">
      <c r="A7" s="19">
        <v>44939</v>
      </c>
      <c r="B7" s="1" t="s">
        <v>85</v>
      </c>
      <c r="C7" s="1" t="s">
        <v>20</v>
      </c>
      <c r="D7" s="5">
        <v>45</v>
      </c>
      <c r="E7" s="5">
        <v>-0.3</v>
      </c>
      <c r="F7" s="5">
        <v>-5.25</v>
      </c>
      <c r="G7" s="5">
        <v>0</v>
      </c>
      <c r="H7" s="5">
        <f t="shared" si="0"/>
        <v>39.450000000000003</v>
      </c>
    </row>
    <row r="8" spans="1:8" x14ac:dyDescent="0.45">
      <c r="A8" s="19">
        <v>44939</v>
      </c>
      <c r="B8" s="1" t="s">
        <v>91</v>
      </c>
      <c r="C8" s="1" t="s">
        <v>90</v>
      </c>
      <c r="D8" s="5">
        <v>0</v>
      </c>
      <c r="E8" s="5">
        <v>0</v>
      </c>
      <c r="F8" s="5">
        <v>0</v>
      </c>
      <c r="G8" s="5">
        <v>-70.37</v>
      </c>
      <c r="H8" s="5">
        <f t="shared" si="0"/>
        <v>0</v>
      </c>
    </row>
    <row r="9" spans="1:8" x14ac:dyDescent="0.45">
      <c r="A9" s="19">
        <v>44940</v>
      </c>
      <c r="B9" s="1" t="s">
        <v>85</v>
      </c>
      <c r="C9" s="1" t="s">
        <v>92</v>
      </c>
      <c r="D9" s="5">
        <v>99</v>
      </c>
      <c r="E9" s="5">
        <v>-0.3</v>
      </c>
      <c r="F9" s="5">
        <v>-11.89</v>
      </c>
      <c r="G9" s="5">
        <v>0</v>
      </c>
      <c r="H9" s="5">
        <f t="shared" si="0"/>
        <v>86.81</v>
      </c>
    </row>
    <row r="10" spans="1:8" x14ac:dyDescent="0.45">
      <c r="A10" s="19">
        <v>44941</v>
      </c>
      <c r="B10" s="1" t="s">
        <v>85</v>
      </c>
      <c r="C10" s="1" t="s">
        <v>35</v>
      </c>
      <c r="D10" s="5">
        <v>35</v>
      </c>
      <c r="E10" s="5">
        <v>-0.3</v>
      </c>
      <c r="F10" s="5">
        <v>-4.08</v>
      </c>
      <c r="G10" s="5">
        <v>0</v>
      </c>
      <c r="H10" s="5">
        <f t="shared" si="0"/>
        <v>30.620000000000005</v>
      </c>
    </row>
    <row r="11" spans="1:8" x14ac:dyDescent="0.45">
      <c r="A11" s="19">
        <v>44942</v>
      </c>
      <c r="B11" s="1" t="s">
        <v>85</v>
      </c>
      <c r="C11" s="1" t="s">
        <v>93</v>
      </c>
      <c r="D11" s="5">
        <v>9</v>
      </c>
      <c r="E11" s="5">
        <v>-0.3</v>
      </c>
      <c r="F11" s="5">
        <v>-1.05</v>
      </c>
      <c r="G11" s="5">
        <v>0</v>
      </c>
      <c r="H11" s="5">
        <f t="shared" si="0"/>
        <v>7.6499999999999995</v>
      </c>
    </row>
    <row r="12" spans="1:8" x14ac:dyDescent="0.45">
      <c r="A12" s="19">
        <v>44943</v>
      </c>
      <c r="B12" s="1" t="s">
        <v>85</v>
      </c>
      <c r="C12" s="1" t="s">
        <v>94</v>
      </c>
      <c r="D12" s="5">
        <v>40</v>
      </c>
      <c r="E12" s="5">
        <v>-0.3</v>
      </c>
      <c r="F12" s="5">
        <v>-4.75</v>
      </c>
      <c r="G12" s="5">
        <v>0</v>
      </c>
      <c r="H12" s="5">
        <f t="shared" si="0"/>
        <v>34.950000000000003</v>
      </c>
    </row>
    <row r="13" spans="1:8" x14ac:dyDescent="0.45">
      <c r="A13" s="19">
        <v>44943</v>
      </c>
      <c r="B13" s="1" t="s">
        <v>85</v>
      </c>
      <c r="C13" s="1" t="s">
        <v>47</v>
      </c>
      <c r="D13" s="5">
        <v>19</v>
      </c>
      <c r="E13" s="5">
        <v>-0.3</v>
      </c>
      <c r="F13" s="5">
        <v>-2.2200000000000002</v>
      </c>
      <c r="G13" s="5">
        <v>0</v>
      </c>
      <c r="H13" s="5">
        <f t="shared" si="0"/>
        <v>16.48</v>
      </c>
    </row>
    <row r="14" spans="1:8" x14ac:dyDescent="0.45">
      <c r="A14" s="19">
        <v>44944</v>
      </c>
      <c r="B14" s="1" t="s">
        <v>85</v>
      </c>
      <c r="C14" s="1" t="s">
        <v>30</v>
      </c>
      <c r="D14" s="5">
        <v>39</v>
      </c>
      <c r="E14" s="5">
        <v>-0.3</v>
      </c>
      <c r="F14" s="5">
        <v>-4.63</v>
      </c>
      <c r="G14" s="5">
        <v>0</v>
      </c>
      <c r="H14" s="5">
        <f t="shared" si="0"/>
        <v>34.07</v>
      </c>
    </row>
    <row r="15" spans="1:8" x14ac:dyDescent="0.45">
      <c r="A15" s="19">
        <v>44945</v>
      </c>
      <c r="B15" s="1" t="s">
        <v>85</v>
      </c>
      <c r="C15" s="1" t="s">
        <v>95</v>
      </c>
      <c r="D15" s="5">
        <v>49</v>
      </c>
      <c r="E15" s="5">
        <v>-0.3</v>
      </c>
      <c r="F15" s="5">
        <v>-5.77</v>
      </c>
      <c r="G15" s="5">
        <v>0</v>
      </c>
      <c r="H15" s="5">
        <f t="shared" si="0"/>
        <v>42.930000000000007</v>
      </c>
    </row>
    <row r="16" spans="1:8" x14ac:dyDescent="0.45">
      <c r="A16" s="19">
        <v>44946</v>
      </c>
      <c r="B16" s="1" t="s">
        <v>91</v>
      </c>
      <c r="C16" s="1" t="s">
        <v>96</v>
      </c>
      <c r="D16" s="5">
        <v>0</v>
      </c>
      <c r="E16" s="5">
        <v>0</v>
      </c>
      <c r="F16" s="5">
        <v>0</v>
      </c>
      <c r="G16" s="5">
        <v>-34.17</v>
      </c>
      <c r="H16" s="5">
        <f t="shared" si="0"/>
        <v>0</v>
      </c>
    </row>
    <row r="17" spans="1:8" x14ac:dyDescent="0.45">
      <c r="A17" s="19">
        <v>44946</v>
      </c>
      <c r="B17" s="1" t="s">
        <v>85</v>
      </c>
      <c r="C17" s="1" t="s">
        <v>96</v>
      </c>
      <c r="D17" s="5">
        <v>39</v>
      </c>
      <c r="E17" s="5">
        <v>-0.3</v>
      </c>
      <c r="F17" s="5">
        <v>-4.53</v>
      </c>
      <c r="G17" s="5">
        <v>0</v>
      </c>
      <c r="H17" s="5">
        <f t="shared" si="0"/>
        <v>34.17</v>
      </c>
    </row>
    <row r="18" spans="1:8" x14ac:dyDescent="0.45">
      <c r="A18" s="19">
        <v>44946</v>
      </c>
      <c r="B18" s="1" t="s">
        <v>85</v>
      </c>
      <c r="C18" s="1" t="s">
        <v>97</v>
      </c>
      <c r="D18" s="5">
        <v>30</v>
      </c>
      <c r="E18" s="5">
        <v>-0.3</v>
      </c>
      <c r="F18" s="5">
        <v>-3.51</v>
      </c>
      <c r="G18" s="5">
        <v>0</v>
      </c>
      <c r="H18" s="5">
        <f t="shared" si="0"/>
        <v>26.189999999999998</v>
      </c>
    </row>
    <row r="19" spans="1:8" x14ac:dyDescent="0.45">
      <c r="A19" s="19">
        <v>44947</v>
      </c>
      <c r="B19" s="1" t="s">
        <v>85</v>
      </c>
      <c r="C19" s="1" t="s">
        <v>21</v>
      </c>
      <c r="D19" s="5">
        <v>39</v>
      </c>
      <c r="E19" s="5">
        <v>-0.3</v>
      </c>
      <c r="F19" s="5">
        <v>-4.55</v>
      </c>
      <c r="G19" s="5">
        <v>0</v>
      </c>
      <c r="H19" s="5">
        <f t="shared" si="0"/>
        <v>34.150000000000006</v>
      </c>
    </row>
    <row r="20" spans="1:8" x14ac:dyDescent="0.45">
      <c r="A20" s="19">
        <v>44947</v>
      </c>
      <c r="B20" s="1" t="s">
        <v>85</v>
      </c>
      <c r="C20" s="1" t="s">
        <v>98</v>
      </c>
      <c r="D20" s="5">
        <v>45</v>
      </c>
      <c r="E20" s="5">
        <v>-0.3</v>
      </c>
      <c r="F20" s="5">
        <v>-5.31</v>
      </c>
      <c r="G20" s="5">
        <v>0</v>
      </c>
      <c r="H20" s="5">
        <f t="shared" si="0"/>
        <v>39.39</v>
      </c>
    </row>
    <row r="21" spans="1:8" x14ac:dyDescent="0.45">
      <c r="A21" s="19">
        <v>44947</v>
      </c>
      <c r="B21" s="1" t="s">
        <v>85</v>
      </c>
      <c r="C21" s="1" t="s">
        <v>33</v>
      </c>
      <c r="D21" s="5">
        <v>24</v>
      </c>
      <c r="E21" s="5">
        <v>-0.3</v>
      </c>
      <c r="F21" s="5">
        <v>-2.83</v>
      </c>
      <c r="G21" s="5">
        <v>0</v>
      </c>
      <c r="H21" s="5">
        <f t="shared" si="0"/>
        <v>20.869999999999997</v>
      </c>
    </row>
    <row r="22" spans="1:8" x14ac:dyDescent="0.45">
      <c r="A22" s="19">
        <v>44947</v>
      </c>
      <c r="B22" s="1" t="s">
        <v>85</v>
      </c>
      <c r="C22" s="1" t="s">
        <v>49</v>
      </c>
      <c r="D22" s="5">
        <v>19</v>
      </c>
      <c r="E22" s="5">
        <v>-0.3</v>
      </c>
      <c r="F22" s="5">
        <v>-2.2400000000000002</v>
      </c>
      <c r="G22" s="5">
        <v>0</v>
      </c>
      <c r="H22" s="5">
        <f t="shared" si="0"/>
        <v>16.46</v>
      </c>
    </row>
    <row r="23" spans="1:8" x14ac:dyDescent="0.45">
      <c r="A23" s="19">
        <v>44948</v>
      </c>
      <c r="B23" s="1" t="s">
        <v>85</v>
      </c>
      <c r="C23" s="1" t="s">
        <v>99</v>
      </c>
      <c r="D23" s="5">
        <v>24</v>
      </c>
      <c r="E23" s="5">
        <v>-0.3</v>
      </c>
      <c r="F23" s="5">
        <v>-2.8</v>
      </c>
      <c r="G23" s="5">
        <v>0</v>
      </c>
      <c r="H23" s="5">
        <f t="shared" si="0"/>
        <v>20.9</v>
      </c>
    </row>
    <row r="24" spans="1:8" x14ac:dyDescent="0.45">
      <c r="A24" s="19">
        <v>44948</v>
      </c>
      <c r="B24" s="1" t="s">
        <v>85</v>
      </c>
      <c r="C24" s="1" t="s">
        <v>96</v>
      </c>
      <c r="D24" s="5">
        <v>28</v>
      </c>
      <c r="E24" s="5">
        <v>-0.3</v>
      </c>
      <c r="F24" s="5">
        <v>-3.33</v>
      </c>
      <c r="G24" s="5">
        <v>0</v>
      </c>
      <c r="H24" s="5">
        <f t="shared" si="0"/>
        <v>24.369999999999997</v>
      </c>
    </row>
    <row r="25" spans="1:8" x14ac:dyDescent="0.45">
      <c r="A25" s="19">
        <v>44948</v>
      </c>
      <c r="B25" s="1" t="s">
        <v>85</v>
      </c>
      <c r="C25" s="1" t="s">
        <v>100</v>
      </c>
      <c r="D25" s="5">
        <v>9</v>
      </c>
      <c r="E25" s="5">
        <v>-0.3</v>
      </c>
      <c r="F25" s="5">
        <v>-1.07</v>
      </c>
      <c r="G25" s="5">
        <v>0</v>
      </c>
      <c r="H25" s="5">
        <f t="shared" si="0"/>
        <v>7.629999999999999</v>
      </c>
    </row>
    <row r="26" spans="1:8" x14ac:dyDescent="0.45">
      <c r="A26" s="19">
        <v>44949</v>
      </c>
      <c r="B26" s="1" t="s">
        <v>85</v>
      </c>
      <c r="C26" s="1" t="s">
        <v>101</v>
      </c>
      <c r="D26" s="5">
        <v>25</v>
      </c>
      <c r="E26" s="5">
        <v>-0.3</v>
      </c>
      <c r="F26" s="5">
        <v>-3.01</v>
      </c>
      <c r="G26" s="5">
        <v>0</v>
      </c>
      <c r="H26" s="5">
        <f t="shared" si="0"/>
        <v>21.689999999999998</v>
      </c>
    </row>
    <row r="27" spans="1:8" x14ac:dyDescent="0.45">
      <c r="A27" s="19">
        <v>44949</v>
      </c>
      <c r="B27" s="1" t="s">
        <v>85</v>
      </c>
      <c r="C27" s="1" t="s">
        <v>102</v>
      </c>
      <c r="D27" s="5">
        <v>59</v>
      </c>
      <c r="E27" s="5">
        <v>-0.3</v>
      </c>
      <c r="F27" s="5">
        <v>-7.01</v>
      </c>
      <c r="G27" s="5">
        <v>0</v>
      </c>
      <c r="H27" s="5">
        <f t="shared" si="0"/>
        <v>51.690000000000005</v>
      </c>
    </row>
    <row r="28" spans="1:8" x14ac:dyDescent="0.45">
      <c r="A28" s="19">
        <v>44949</v>
      </c>
      <c r="B28" s="1" t="s">
        <v>85</v>
      </c>
      <c r="C28" s="1" t="s">
        <v>103</v>
      </c>
      <c r="D28" s="5">
        <v>101</v>
      </c>
      <c r="E28" s="5">
        <v>-0.3</v>
      </c>
      <c r="F28" s="5">
        <v>-11.86</v>
      </c>
      <c r="G28" s="5">
        <v>0</v>
      </c>
      <c r="H28" s="5">
        <f t="shared" si="0"/>
        <v>88.84</v>
      </c>
    </row>
    <row r="29" spans="1:8" x14ac:dyDescent="0.45">
      <c r="A29" s="19">
        <v>44949</v>
      </c>
      <c r="B29" s="1" t="s">
        <v>85</v>
      </c>
      <c r="C29" s="1" t="s">
        <v>104</v>
      </c>
      <c r="D29" s="5">
        <v>109</v>
      </c>
      <c r="E29" s="5">
        <v>-0.3</v>
      </c>
      <c r="F29" s="5">
        <v>-12.77</v>
      </c>
      <c r="G29" s="5">
        <v>0</v>
      </c>
      <c r="H29" s="5">
        <f t="shared" si="0"/>
        <v>95.93</v>
      </c>
    </row>
    <row r="30" spans="1:8" x14ac:dyDescent="0.45">
      <c r="A30" s="19">
        <v>44950</v>
      </c>
      <c r="B30" s="1" t="s">
        <v>85</v>
      </c>
      <c r="C30" s="1" t="s">
        <v>105</v>
      </c>
      <c r="D30" s="5">
        <v>59</v>
      </c>
      <c r="E30" s="5">
        <v>-0.3</v>
      </c>
      <c r="F30" s="5">
        <v>-6.94</v>
      </c>
      <c r="G30" s="5">
        <v>0</v>
      </c>
      <c r="H30" s="5">
        <f t="shared" si="0"/>
        <v>51.760000000000005</v>
      </c>
    </row>
    <row r="31" spans="1:8" x14ac:dyDescent="0.45">
      <c r="A31" s="19">
        <v>44951</v>
      </c>
      <c r="B31" s="1" t="s">
        <v>85</v>
      </c>
      <c r="C31" s="1" t="s">
        <v>106</v>
      </c>
      <c r="D31" s="5">
        <v>29</v>
      </c>
      <c r="E31" s="5">
        <v>-0.3</v>
      </c>
      <c r="F31" s="5">
        <v>-3.56</v>
      </c>
      <c r="G31" s="5">
        <v>0</v>
      </c>
      <c r="H31" s="5">
        <f t="shared" si="0"/>
        <v>25.14</v>
      </c>
    </row>
    <row r="32" spans="1:8" x14ac:dyDescent="0.45">
      <c r="A32" s="19">
        <v>44952</v>
      </c>
      <c r="B32" s="1" t="s">
        <v>85</v>
      </c>
      <c r="C32" s="1" t="s">
        <v>107</v>
      </c>
      <c r="D32" s="5">
        <v>25</v>
      </c>
      <c r="E32" s="5">
        <v>-0.3</v>
      </c>
      <c r="F32" s="5">
        <v>-2.97</v>
      </c>
      <c r="G32" s="5">
        <v>0</v>
      </c>
      <c r="H32" s="5">
        <f t="shared" si="0"/>
        <v>21.73</v>
      </c>
    </row>
    <row r="33" spans="1:8" x14ac:dyDescent="0.45">
      <c r="A33" s="19">
        <v>44953</v>
      </c>
      <c r="B33" s="1" t="s">
        <v>85</v>
      </c>
      <c r="C33" s="1" t="s">
        <v>39</v>
      </c>
      <c r="D33" s="5">
        <v>29</v>
      </c>
      <c r="E33" s="5">
        <v>-0.3</v>
      </c>
      <c r="F33" s="5">
        <v>-3.42</v>
      </c>
      <c r="G33" s="5">
        <v>0</v>
      </c>
      <c r="H33" s="5">
        <f t="shared" si="0"/>
        <v>25.28</v>
      </c>
    </row>
    <row r="34" spans="1:8" x14ac:dyDescent="0.45">
      <c r="A34" s="19">
        <v>44954</v>
      </c>
      <c r="B34" s="1" t="s">
        <v>85</v>
      </c>
      <c r="C34" s="1" t="s">
        <v>108</v>
      </c>
      <c r="D34" s="5">
        <v>29</v>
      </c>
      <c r="E34" s="5">
        <v>-0.3</v>
      </c>
      <c r="F34" s="5">
        <v>-3.41</v>
      </c>
      <c r="G34" s="5">
        <v>0</v>
      </c>
      <c r="H34" s="5">
        <f t="shared" si="0"/>
        <v>25.29</v>
      </c>
    </row>
    <row r="35" spans="1:8" x14ac:dyDescent="0.45">
      <c r="A35" s="19">
        <v>44954</v>
      </c>
      <c r="B35" s="1" t="s">
        <v>85</v>
      </c>
      <c r="C35" s="1" t="s">
        <v>28</v>
      </c>
      <c r="D35" s="5">
        <v>79</v>
      </c>
      <c r="E35" s="5">
        <v>-0.3</v>
      </c>
      <c r="F35" s="5">
        <v>-9.69</v>
      </c>
      <c r="G35" s="5">
        <v>0</v>
      </c>
      <c r="H35" s="5">
        <f t="shared" si="0"/>
        <v>69.010000000000005</v>
      </c>
    </row>
    <row r="36" spans="1:8" x14ac:dyDescent="0.45">
      <c r="A36" s="19">
        <v>44954</v>
      </c>
      <c r="B36" s="1" t="s">
        <v>85</v>
      </c>
      <c r="C36" s="1" t="s">
        <v>43</v>
      </c>
      <c r="D36" s="5">
        <v>50</v>
      </c>
      <c r="E36" s="5">
        <v>-0.3</v>
      </c>
      <c r="F36" s="5">
        <v>-5.83</v>
      </c>
      <c r="G36" s="5">
        <v>0</v>
      </c>
      <c r="H36" s="5">
        <f t="shared" si="0"/>
        <v>43.870000000000005</v>
      </c>
    </row>
    <row r="37" spans="1:8" x14ac:dyDescent="0.45">
      <c r="A37" s="19">
        <v>44955</v>
      </c>
      <c r="B37" s="1" t="s">
        <v>85</v>
      </c>
      <c r="C37" s="1" t="s">
        <v>41</v>
      </c>
      <c r="D37" s="5">
        <v>20</v>
      </c>
      <c r="E37" s="5">
        <v>-0.3</v>
      </c>
      <c r="F37" s="5">
        <v>-2.34</v>
      </c>
      <c r="G37" s="5">
        <v>0</v>
      </c>
      <c r="H37" s="5">
        <f t="shared" si="0"/>
        <v>17.36</v>
      </c>
    </row>
    <row r="38" spans="1:8" x14ac:dyDescent="0.45">
      <c r="A38" s="19">
        <v>44956</v>
      </c>
      <c r="B38" s="1" t="s">
        <v>85</v>
      </c>
      <c r="C38" s="1" t="s">
        <v>44</v>
      </c>
      <c r="D38" s="5">
        <v>69</v>
      </c>
      <c r="E38" s="5">
        <v>-0.3</v>
      </c>
      <c r="F38" s="5">
        <v>-8.4600000000000009</v>
      </c>
      <c r="G38" s="5">
        <v>0</v>
      </c>
      <c r="H38" s="5">
        <f t="shared" si="0"/>
        <v>60.24</v>
      </c>
    </row>
    <row r="39" spans="1:8" x14ac:dyDescent="0.45">
      <c r="A39" s="19">
        <v>44956</v>
      </c>
      <c r="B39" s="1" t="s">
        <v>85</v>
      </c>
      <c r="C39" s="1" t="s">
        <v>109</v>
      </c>
      <c r="D39" s="5">
        <v>50</v>
      </c>
      <c r="E39" s="5">
        <v>-0.3</v>
      </c>
      <c r="F39" s="5">
        <v>-5.89</v>
      </c>
      <c r="G39" s="5">
        <v>0</v>
      </c>
      <c r="H39" s="5">
        <f t="shared" si="0"/>
        <v>43.81</v>
      </c>
    </row>
    <row r="40" spans="1:8" x14ac:dyDescent="0.45">
      <c r="A40" s="19">
        <v>44956</v>
      </c>
      <c r="B40" s="1" t="s">
        <v>85</v>
      </c>
      <c r="C40" s="1" t="s">
        <v>110</v>
      </c>
      <c r="D40" s="5">
        <v>59</v>
      </c>
      <c r="E40" s="5">
        <v>-0.3</v>
      </c>
      <c r="F40" s="5">
        <v>-6.94</v>
      </c>
      <c r="G40" s="5">
        <v>0</v>
      </c>
      <c r="H40" s="5">
        <f t="shared" si="0"/>
        <v>51.760000000000005</v>
      </c>
    </row>
    <row r="41" spans="1:8" x14ac:dyDescent="0.45">
      <c r="A41" s="19">
        <v>44957</v>
      </c>
      <c r="B41" s="1" t="s">
        <v>85</v>
      </c>
      <c r="C41" s="1" t="s">
        <v>31</v>
      </c>
      <c r="D41" s="5">
        <v>29</v>
      </c>
      <c r="E41" s="5">
        <v>-0.3</v>
      </c>
      <c r="F41" s="5">
        <v>-3.45</v>
      </c>
      <c r="G41" s="5">
        <v>0</v>
      </c>
      <c r="H41" s="5">
        <f t="shared" si="0"/>
        <v>25.25</v>
      </c>
    </row>
    <row r="42" spans="1:8" x14ac:dyDescent="0.45">
      <c r="A42" s="19">
        <v>44957</v>
      </c>
      <c r="B42" s="1" t="s">
        <v>85</v>
      </c>
      <c r="C42" s="1" t="s">
        <v>38</v>
      </c>
      <c r="D42" s="5">
        <v>75</v>
      </c>
      <c r="E42" s="5">
        <v>-0.3</v>
      </c>
      <c r="F42" s="5">
        <v>-8.89</v>
      </c>
      <c r="G42" s="5">
        <v>0</v>
      </c>
      <c r="H42" s="5">
        <f t="shared" si="0"/>
        <v>65.81</v>
      </c>
    </row>
    <row r="43" spans="1:8" x14ac:dyDescent="0.45">
      <c r="A43" s="19">
        <v>44957</v>
      </c>
      <c r="B43" s="1" t="s">
        <v>85</v>
      </c>
      <c r="C43" s="1" t="s">
        <v>111</v>
      </c>
      <c r="D43" s="5">
        <v>12</v>
      </c>
      <c r="E43" s="5">
        <v>-0.3</v>
      </c>
      <c r="F43" s="5">
        <v>-1.4</v>
      </c>
      <c r="G43" s="5">
        <v>0</v>
      </c>
      <c r="H43" s="5">
        <f t="shared" si="0"/>
        <v>10.299999999999999</v>
      </c>
    </row>
    <row r="44" spans="1:8" x14ac:dyDescent="0.45">
      <c r="A44" s="19">
        <v>44958</v>
      </c>
      <c r="B44" s="1" t="s">
        <v>85</v>
      </c>
      <c r="C44" s="1" t="s">
        <v>42</v>
      </c>
      <c r="D44" s="5">
        <v>19</v>
      </c>
      <c r="E44" s="5">
        <v>-0.3</v>
      </c>
      <c r="F44" s="5">
        <v>-2.25</v>
      </c>
      <c r="G44" s="5">
        <v>0</v>
      </c>
      <c r="H44" s="5">
        <f t="shared" si="0"/>
        <v>16.45</v>
      </c>
    </row>
    <row r="45" spans="1:8" x14ac:dyDescent="0.45">
      <c r="A45" s="19">
        <v>44959</v>
      </c>
      <c r="B45" s="1" t="s">
        <v>85</v>
      </c>
      <c r="C45" s="1" t="s">
        <v>34</v>
      </c>
      <c r="D45" s="5">
        <v>19</v>
      </c>
      <c r="E45" s="5">
        <v>-0.3</v>
      </c>
      <c r="F45" s="5">
        <v>-2.23</v>
      </c>
      <c r="G45" s="5">
        <v>0</v>
      </c>
      <c r="H45" s="5">
        <f t="shared" si="0"/>
        <v>16.47</v>
      </c>
    </row>
    <row r="46" spans="1:8" x14ac:dyDescent="0.45">
      <c r="A46" s="19">
        <v>44960</v>
      </c>
      <c r="B46" s="1" t="s">
        <v>85</v>
      </c>
      <c r="C46" s="1" t="s">
        <v>112</v>
      </c>
      <c r="D46" s="5">
        <v>40</v>
      </c>
      <c r="E46" s="5">
        <v>-0.3</v>
      </c>
      <c r="F46" s="5">
        <v>-4.68</v>
      </c>
      <c r="G46" s="5">
        <v>0</v>
      </c>
      <c r="H46" s="5">
        <f t="shared" si="0"/>
        <v>35.020000000000003</v>
      </c>
    </row>
    <row r="47" spans="1:8" x14ac:dyDescent="0.45">
      <c r="A47" s="19">
        <v>44961</v>
      </c>
      <c r="B47" s="1" t="s">
        <v>85</v>
      </c>
      <c r="C47" s="1" t="s">
        <v>113</v>
      </c>
      <c r="D47" s="5">
        <v>9</v>
      </c>
      <c r="E47" s="5">
        <v>-0.3</v>
      </c>
      <c r="F47" s="5">
        <v>-1.05</v>
      </c>
      <c r="G47" s="5">
        <v>0</v>
      </c>
      <c r="H47" s="5">
        <f t="shared" si="0"/>
        <v>7.6499999999999995</v>
      </c>
    </row>
    <row r="48" spans="1:8" x14ac:dyDescent="0.45">
      <c r="A48" s="19">
        <v>44962</v>
      </c>
      <c r="B48" s="1" t="s">
        <v>85</v>
      </c>
      <c r="C48" s="1" t="s">
        <v>114</v>
      </c>
      <c r="D48" s="5">
        <v>30</v>
      </c>
      <c r="E48" s="5">
        <v>-0.3</v>
      </c>
      <c r="F48" s="5">
        <v>-3.59</v>
      </c>
      <c r="G48" s="5">
        <v>0</v>
      </c>
      <c r="H48" s="5">
        <f t="shared" si="0"/>
        <v>26.11</v>
      </c>
    </row>
    <row r="49" spans="1:8" x14ac:dyDescent="0.45">
      <c r="A49" s="19">
        <v>44962</v>
      </c>
      <c r="B49" s="1" t="s">
        <v>85</v>
      </c>
      <c r="C49" s="1" t="s">
        <v>47</v>
      </c>
      <c r="D49" s="5">
        <v>19</v>
      </c>
      <c r="E49" s="5">
        <v>-0.3</v>
      </c>
      <c r="F49" s="5">
        <v>-2.2200000000000002</v>
      </c>
      <c r="G49" s="5">
        <v>0</v>
      </c>
      <c r="H49" s="5">
        <f t="shared" si="0"/>
        <v>16.48</v>
      </c>
    </row>
    <row r="50" spans="1:8" x14ac:dyDescent="0.45">
      <c r="A50" s="19">
        <v>44962</v>
      </c>
      <c r="B50" s="1" t="s">
        <v>85</v>
      </c>
      <c r="C50" s="1" t="s">
        <v>95</v>
      </c>
      <c r="D50" s="5">
        <v>40</v>
      </c>
      <c r="E50" s="5">
        <v>-0.3</v>
      </c>
      <c r="F50" s="5">
        <v>-4.72</v>
      </c>
      <c r="G50" s="5">
        <v>0</v>
      </c>
      <c r="H50" s="5">
        <f t="shared" si="0"/>
        <v>34.980000000000004</v>
      </c>
    </row>
    <row r="51" spans="1:8" x14ac:dyDescent="0.45">
      <c r="A51" s="19">
        <v>44962</v>
      </c>
      <c r="B51" s="1" t="s">
        <v>85</v>
      </c>
      <c r="C51" s="1" t="s">
        <v>45</v>
      </c>
      <c r="D51" s="5">
        <v>300</v>
      </c>
      <c r="E51" s="5">
        <v>-0.3</v>
      </c>
      <c r="F51" s="5">
        <v>-34.979999999999997</v>
      </c>
      <c r="G51" s="5">
        <v>0</v>
      </c>
      <c r="H51" s="5">
        <f t="shared" si="0"/>
        <v>264.71999999999997</v>
      </c>
    </row>
    <row r="52" spans="1:8" x14ac:dyDescent="0.45">
      <c r="A52" s="19">
        <v>44964</v>
      </c>
      <c r="B52" s="1" t="s">
        <v>85</v>
      </c>
      <c r="C52" s="1" t="s">
        <v>115</v>
      </c>
      <c r="D52" s="5">
        <v>159</v>
      </c>
      <c r="E52" s="5">
        <v>-0.3</v>
      </c>
      <c r="F52" s="5">
        <v>-18.45</v>
      </c>
      <c r="G52" s="5">
        <v>0</v>
      </c>
      <c r="H52" s="5">
        <f t="shared" si="0"/>
        <v>140.25</v>
      </c>
    </row>
    <row r="53" spans="1:8" x14ac:dyDescent="0.45">
      <c r="A53" s="19">
        <v>44964</v>
      </c>
      <c r="B53" s="1" t="s">
        <v>85</v>
      </c>
      <c r="C53" s="1" t="s">
        <v>116</v>
      </c>
      <c r="D53" s="5">
        <v>36</v>
      </c>
      <c r="E53" s="5">
        <v>-0.3</v>
      </c>
      <c r="F53" s="5">
        <v>-4.42</v>
      </c>
      <c r="G53" s="5">
        <v>0</v>
      </c>
      <c r="H53" s="5">
        <f t="shared" si="0"/>
        <v>31.28</v>
      </c>
    </row>
    <row r="54" spans="1:8" x14ac:dyDescent="0.45">
      <c r="A54" s="19">
        <v>44965</v>
      </c>
      <c r="B54" s="1" t="s">
        <v>85</v>
      </c>
      <c r="C54" s="1" t="s">
        <v>47</v>
      </c>
      <c r="D54" s="5">
        <v>19</v>
      </c>
      <c r="E54" s="5">
        <v>-0.3</v>
      </c>
      <c r="F54" s="5">
        <v>-2.2200000000000002</v>
      </c>
      <c r="G54" s="5">
        <v>0</v>
      </c>
      <c r="H54" s="5">
        <f t="shared" si="0"/>
        <v>16.48</v>
      </c>
    </row>
    <row r="55" spans="1:8" x14ac:dyDescent="0.45">
      <c r="A55" s="19">
        <v>44965</v>
      </c>
      <c r="B55" s="1" t="s">
        <v>85</v>
      </c>
      <c r="C55" s="1" t="s">
        <v>27</v>
      </c>
      <c r="D55" s="5">
        <v>80</v>
      </c>
      <c r="E55" s="5">
        <v>-0.3</v>
      </c>
      <c r="F55" s="5">
        <v>-9.81</v>
      </c>
      <c r="G55" s="5">
        <v>0</v>
      </c>
      <c r="H55" s="5">
        <f t="shared" si="0"/>
        <v>69.89</v>
      </c>
    </row>
    <row r="56" spans="1:8" x14ac:dyDescent="0.45">
      <c r="A56" s="19">
        <v>44968</v>
      </c>
      <c r="B56" s="1" t="s">
        <v>85</v>
      </c>
      <c r="C56" s="1" t="s">
        <v>117</v>
      </c>
      <c r="D56" s="5">
        <v>39</v>
      </c>
      <c r="E56" s="5">
        <v>-0.3</v>
      </c>
      <c r="F56" s="5">
        <v>-4.55</v>
      </c>
      <c r="G56" s="5">
        <v>0</v>
      </c>
      <c r="H56" s="5">
        <f t="shared" si="0"/>
        <v>34.150000000000006</v>
      </c>
    </row>
    <row r="57" spans="1:8" x14ac:dyDescent="0.45">
      <c r="A57" s="19">
        <v>44969</v>
      </c>
      <c r="B57" s="1" t="s">
        <v>85</v>
      </c>
      <c r="C57" s="1" t="s">
        <v>118</v>
      </c>
      <c r="D57" s="5">
        <v>18</v>
      </c>
      <c r="E57" s="5">
        <v>-0.3</v>
      </c>
      <c r="F57" s="5">
        <v>-2.12</v>
      </c>
      <c r="G57" s="5">
        <v>0</v>
      </c>
      <c r="H57" s="5">
        <f t="shared" si="0"/>
        <v>15.579999999999998</v>
      </c>
    </row>
    <row r="58" spans="1:8" x14ac:dyDescent="0.45">
      <c r="A58" s="19">
        <v>44969</v>
      </c>
      <c r="B58" s="1" t="s">
        <v>85</v>
      </c>
      <c r="C58" s="1" t="s">
        <v>119</v>
      </c>
      <c r="D58" s="5">
        <v>16</v>
      </c>
      <c r="E58" s="5">
        <v>-0.3</v>
      </c>
      <c r="F58" s="5">
        <v>-1.91</v>
      </c>
      <c r="G58" s="5">
        <v>0</v>
      </c>
      <c r="H58" s="5">
        <f t="shared" si="0"/>
        <v>13.79</v>
      </c>
    </row>
    <row r="59" spans="1:8" x14ac:dyDescent="0.45">
      <c r="A59" s="19">
        <v>44972</v>
      </c>
      <c r="B59" s="1" t="s">
        <v>85</v>
      </c>
      <c r="C59" s="1" t="s">
        <v>46</v>
      </c>
      <c r="D59" s="5">
        <v>15</v>
      </c>
      <c r="E59" s="5">
        <v>-0.3</v>
      </c>
      <c r="F59" s="5">
        <v>-1.8</v>
      </c>
      <c r="G59" s="5">
        <v>0</v>
      </c>
      <c r="H59" s="5">
        <f t="shared" si="0"/>
        <v>12.899999999999999</v>
      </c>
    </row>
    <row r="60" spans="1:8" x14ac:dyDescent="0.45">
      <c r="A60" s="19">
        <v>44973</v>
      </c>
      <c r="B60" s="1" t="s">
        <v>85</v>
      </c>
      <c r="C60" s="1" t="s">
        <v>120</v>
      </c>
      <c r="D60" s="5">
        <v>40</v>
      </c>
      <c r="E60" s="5">
        <v>-0.3</v>
      </c>
      <c r="F60" s="5">
        <v>-4.8899999999999997</v>
      </c>
      <c r="G60" s="5">
        <v>0</v>
      </c>
      <c r="H60" s="5">
        <f t="shared" si="0"/>
        <v>34.81</v>
      </c>
    </row>
    <row r="61" spans="1:8" x14ac:dyDescent="0.45">
      <c r="A61" s="19">
        <v>44974</v>
      </c>
      <c r="B61" s="1" t="s">
        <v>85</v>
      </c>
      <c r="C61" s="1" t="s">
        <v>121</v>
      </c>
      <c r="D61" s="5">
        <v>39</v>
      </c>
      <c r="E61" s="5">
        <v>-0.3</v>
      </c>
      <c r="F61" s="5">
        <v>-4.75</v>
      </c>
      <c r="G61" s="5">
        <v>0</v>
      </c>
      <c r="H61" s="5">
        <f t="shared" si="0"/>
        <v>33.950000000000003</v>
      </c>
    </row>
    <row r="62" spans="1:8" x14ac:dyDescent="0.45">
      <c r="A62" s="19">
        <v>44981</v>
      </c>
      <c r="B62" s="1" t="s">
        <v>85</v>
      </c>
      <c r="C62" s="1" t="s">
        <v>122</v>
      </c>
      <c r="D62" s="5">
        <v>40</v>
      </c>
      <c r="E62" s="5">
        <v>-0.3</v>
      </c>
      <c r="F62" s="5">
        <v>-4.8600000000000003</v>
      </c>
      <c r="G62" s="5">
        <v>0</v>
      </c>
      <c r="H62" s="5">
        <f t="shared" si="0"/>
        <v>34.840000000000003</v>
      </c>
    </row>
    <row r="63" spans="1:8" x14ac:dyDescent="0.45">
      <c r="A63" s="19">
        <v>44983</v>
      </c>
      <c r="B63" s="1" t="s">
        <v>85</v>
      </c>
      <c r="C63" s="1" t="s">
        <v>32</v>
      </c>
      <c r="D63" s="5">
        <v>19</v>
      </c>
      <c r="E63" s="5">
        <v>-0.3</v>
      </c>
      <c r="F63" s="5">
        <v>-2.27</v>
      </c>
      <c r="G63" s="5">
        <v>0</v>
      </c>
      <c r="H63" s="5">
        <f t="shared" si="0"/>
        <v>16.43</v>
      </c>
    </row>
    <row r="64" spans="1:8" x14ac:dyDescent="0.45">
      <c r="A64" s="19">
        <v>44983</v>
      </c>
      <c r="B64" s="1" t="s">
        <v>85</v>
      </c>
      <c r="C64" s="1" t="s">
        <v>20</v>
      </c>
      <c r="D64" s="5">
        <v>45</v>
      </c>
      <c r="E64" s="5">
        <v>-0.3</v>
      </c>
      <c r="F64" s="5">
        <v>-5.41</v>
      </c>
      <c r="G64" s="5">
        <v>0</v>
      </c>
      <c r="H64" s="5">
        <f t="shared" si="0"/>
        <v>39.290000000000006</v>
      </c>
    </row>
    <row r="65" spans="1:8" x14ac:dyDescent="0.45">
      <c r="A65" s="19">
        <v>44983</v>
      </c>
      <c r="B65" s="1" t="s">
        <v>85</v>
      </c>
      <c r="C65" s="1" t="s">
        <v>123</v>
      </c>
      <c r="D65" s="5">
        <v>20</v>
      </c>
      <c r="E65" s="5">
        <v>-0.3</v>
      </c>
      <c r="F65" s="5">
        <v>-2.39</v>
      </c>
      <c r="G65" s="5">
        <v>0</v>
      </c>
      <c r="H65" s="5">
        <f t="shared" si="0"/>
        <v>17.309999999999999</v>
      </c>
    </row>
    <row r="66" spans="1:8" x14ac:dyDescent="0.45">
      <c r="A66" s="19">
        <v>44984</v>
      </c>
      <c r="B66" s="1" t="s">
        <v>85</v>
      </c>
      <c r="C66" s="1" t="s">
        <v>44</v>
      </c>
      <c r="D66" s="5">
        <v>59</v>
      </c>
      <c r="E66" s="5">
        <v>-0.3</v>
      </c>
      <c r="F66" s="5">
        <v>-7.2</v>
      </c>
      <c r="G66" s="5">
        <v>0</v>
      </c>
      <c r="H66" s="5">
        <f t="shared" si="0"/>
        <v>51.5</v>
      </c>
    </row>
    <row r="67" spans="1:8" x14ac:dyDescent="0.45">
      <c r="A67" s="19">
        <v>44984</v>
      </c>
      <c r="B67" s="1" t="s">
        <v>85</v>
      </c>
      <c r="C67" s="1" t="s">
        <v>124</v>
      </c>
      <c r="D67" s="5">
        <v>44</v>
      </c>
      <c r="E67" s="5">
        <v>-0.3</v>
      </c>
      <c r="F67" s="5">
        <v>-4.99</v>
      </c>
      <c r="G67" s="5">
        <v>0</v>
      </c>
      <c r="H67" s="5">
        <f t="shared" ref="H67:H130" si="1">D67+E67+F67</f>
        <v>38.71</v>
      </c>
    </row>
    <row r="68" spans="1:8" x14ac:dyDescent="0.45">
      <c r="A68" s="19">
        <v>44984</v>
      </c>
      <c r="B68" s="1" t="s">
        <v>85</v>
      </c>
      <c r="C68" s="1" t="s">
        <v>125</v>
      </c>
      <c r="D68" s="5">
        <v>55</v>
      </c>
      <c r="E68" s="5">
        <v>0</v>
      </c>
      <c r="F68" s="5">
        <v>-6.24</v>
      </c>
      <c r="G68" s="5">
        <v>0</v>
      </c>
      <c r="H68" s="5">
        <f t="shared" si="1"/>
        <v>48.76</v>
      </c>
    </row>
    <row r="69" spans="1:8" x14ac:dyDescent="0.45">
      <c r="A69" s="19">
        <v>44984</v>
      </c>
      <c r="B69" s="1" t="s">
        <v>85</v>
      </c>
      <c r="C69" s="1" t="s">
        <v>44</v>
      </c>
      <c r="D69" s="5">
        <v>50</v>
      </c>
      <c r="E69" s="5">
        <v>-0.3</v>
      </c>
      <c r="F69" s="5">
        <v>-6.07</v>
      </c>
      <c r="G69" s="5">
        <v>0</v>
      </c>
      <c r="H69" s="5">
        <f t="shared" si="1"/>
        <v>43.63</v>
      </c>
    </row>
    <row r="70" spans="1:8" x14ac:dyDescent="0.45">
      <c r="A70" s="19">
        <v>44984</v>
      </c>
      <c r="B70" s="1" t="s">
        <v>85</v>
      </c>
      <c r="C70" s="1" t="s">
        <v>33</v>
      </c>
      <c r="D70" s="5">
        <v>24</v>
      </c>
      <c r="E70" s="5">
        <v>-0.3</v>
      </c>
      <c r="F70" s="5">
        <v>-2.92</v>
      </c>
      <c r="G70" s="5">
        <v>0</v>
      </c>
      <c r="H70" s="5">
        <f t="shared" si="1"/>
        <v>20.78</v>
      </c>
    </row>
    <row r="71" spans="1:8" x14ac:dyDescent="0.45">
      <c r="A71" s="19">
        <v>44984</v>
      </c>
      <c r="B71" s="1" t="s">
        <v>91</v>
      </c>
      <c r="C71" s="1" t="s">
        <v>118</v>
      </c>
      <c r="D71" s="5">
        <v>0</v>
      </c>
      <c r="E71" s="5">
        <v>0</v>
      </c>
      <c r="F71" s="5">
        <v>0</v>
      </c>
      <c r="G71" s="5">
        <v>-15.58</v>
      </c>
      <c r="H71" s="5">
        <f t="shared" si="1"/>
        <v>0</v>
      </c>
    </row>
    <row r="72" spans="1:8" x14ac:dyDescent="0.45">
      <c r="A72" s="19">
        <v>44984</v>
      </c>
      <c r="B72" s="1" t="s">
        <v>85</v>
      </c>
      <c r="C72" s="1" t="s">
        <v>126</v>
      </c>
      <c r="D72" s="5">
        <v>69</v>
      </c>
      <c r="E72" s="5">
        <v>-0.3</v>
      </c>
      <c r="F72" s="5">
        <v>-8.3000000000000007</v>
      </c>
      <c r="G72" s="5">
        <v>0</v>
      </c>
      <c r="H72" s="5">
        <f t="shared" si="1"/>
        <v>60.400000000000006</v>
      </c>
    </row>
    <row r="73" spans="1:8" x14ac:dyDescent="0.45">
      <c r="A73" s="19">
        <v>44985</v>
      </c>
      <c r="B73" s="1" t="s">
        <v>85</v>
      </c>
      <c r="C73" s="1" t="s">
        <v>39</v>
      </c>
      <c r="D73" s="5">
        <v>25</v>
      </c>
      <c r="E73" s="5">
        <v>-0.3</v>
      </c>
      <c r="F73" s="5">
        <v>-3.07</v>
      </c>
      <c r="G73" s="5">
        <v>0</v>
      </c>
      <c r="H73" s="5">
        <f t="shared" si="1"/>
        <v>21.63</v>
      </c>
    </row>
    <row r="74" spans="1:8" x14ac:dyDescent="0.45">
      <c r="A74" s="19">
        <v>44985</v>
      </c>
      <c r="B74" s="1" t="s">
        <v>85</v>
      </c>
      <c r="C74" s="1" t="s">
        <v>127</v>
      </c>
      <c r="D74" s="5">
        <v>69</v>
      </c>
      <c r="E74" s="5">
        <v>-0.3</v>
      </c>
      <c r="F74" s="5">
        <v>-8.3000000000000007</v>
      </c>
      <c r="G74" s="5">
        <v>0</v>
      </c>
      <c r="H74" s="5">
        <f t="shared" si="1"/>
        <v>60.400000000000006</v>
      </c>
    </row>
    <row r="75" spans="1:8" x14ac:dyDescent="0.45">
      <c r="A75" s="19">
        <v>44986</v>
      </c>
      <c r="B75" s="1" t="s">
        <v>85</v>
      </c>
      <c r="C75" s="1" t="s">
        <v>33</v>
      </c>
      <c r="D75" s="5">
        <v>25</v>
      </c>
      <c r="E75" s="5">
        <v>-0.3</v>
      </c>
      <c r="F75" s="5">
        <v>-2.76</v>
      </c>
      <c r="G75" s="5">
        <v>0</v>
      </c>
      <c r="H75" s="5">
        <f t="shared" si="1"/>
        <v>21.939999999999998</v>
      </c>
    </row>
    <row r="76" spans="1:8" x14ac:dyDescent="0.45">
      <c r="A76" s="19">
        <v>44987</v>
      </c>
      <c r="B76" s="1" t="s">
        <v>85</v>
      </c>
      <c r="C76" s="1" t="s">
        <v>128</v>
      </c>
      <c r="D76" s="5">
        <v>29</v>
      </c>
      <c r="E76" s="5">
        <v>-0.3</v>
      </c>
      <c r="F76" s="5">
        <v>-3.24</v>
      </c>
      <c r="G76" s="5">
        <v>0</v>
      </c>
      <c r="H76" s="5">
        <f t="shared" si="1"/>
        <v>25.46</v>
      </c>
    </row>
    <row r="77" spans="1:8" x14ac:dyDescent="0.45">
      <c r="A77" s="19">
        <v>44988</v>
      </c>
      <c r="B77" s="1" t="s">
        <v>85</v>
      </c>
      <c r="C77" s="1" t="s">
        <v>89</v>
      </c>
      <c r="D77" s="5">
        <v>19</v>
      </c>
      <c r="E77" s="5">
        <v>-0.3</v>
      </c>
      <c r="F77" s="5">
        <v>-2.1</v>
      </c>
      <c r="G77" s="5">
        <v>0</v>
      </c>
      <c r="H77" s="5">
        <f t="shared" si="1"/>
        <v>16.599999999999998</v>
      </c>
    </row>
    <row r="78" spans="1:8" x14ac:dyDescent="0.45">
      <c r="A78" s="19">
        <v>44988</v>
      </c>
      <c r="B78" s="1" t="s">
        <v>85</v>
      </c>
      <c r="C78" s="1" t="s">
        <v>129</v>
      </c>
      <c r="D78" s="5">
        <v>80</v>
      </c>
      <c r="E78" s="5">
        <v>-0.3</v>
      </c>
      <c r="F78" s="5">
        <v>-8.66</v>
      </c>
      <c r="G78" s="5">
        <v>0</v>
      </c>
      <c r="H78" s="5">
        <f t="shared" si="1"/>
        <v>71.040000000000006</v>
      </c>
    </row>
    <row r="79" spans="1:8" x14ac:dyDescent="0.45">
      <c r="A79" s="19">
        <v>44988</v>
      </c>
      <c r="B79" s="1" t="s">
        <v>85</v>
      </c>
      <c r="C79" s="1" t="s">
        <v>39</v>
      </c>
      <c r="D79" s="5">
        <v>25</v>
      </c>
      <c r="E79" s="5">
        <v>-0.3</v>
      </c>
      <c r="F79" s="5">
        <v>-2.76</v>
      </c>
      <c r="G79" s="5">
        <v>0</v>
      </c>
      <c r="H79" s="5">
        <f t="shared" si="1"/>
        <v>21.939999999999998</v>
      </c>
    </row>
    <row r="80" spans="1:8" x14ac:dyDescent="0.45">
      <c r="A80" s="19">
        <v>44989</v>
      </c>
      <c r="B80" s="1" t="s">
        <v>85</v>
      </c>
      <c r="C80" s="1" t="s">
        <v>130</v>
      </c>
      <c r="D80" s="5">
        <v>19</v>
      </c>
      <c r="E80" s="5">
        <v>-0.3</v>
      </c>
      <c r="F80" s="5">
        <v>-2.16</v>
      </c>
      <c r="G80" s="5">
        <v>0</v>
      </c>
      <c r="H80" s="5">
        <f t="shared" si="1"/>
        <v>16.54</v>
      </c>
    </row>
    <row r="81" spans="1:8" x14ac:dyDescent="0.45">
      <c r="A81" s="19">
        <v>44989</v>
      </c>
      <c r="B81" s="1" t="s">
        <v>85</v>
      </c>
      <c r="C81" s="1" t="s">
        <v>131</v>
      </c>
      <c r="D81" s="5">
        <v>29</v>
      </c>
      <c r="E81" s="5">
        <v>-0.3</v>
      </c>
      <c r="F81" s="5">
        <v>-3.14</v>
      </c>
      <c r="G81" s="5">
        <v>0</v>
      </c>
      <c r="H81" s="5">
        <f t="shared" si="1"/>
        <v>25.56</v>
      </c>
    </row>
    <row r="82" spans="1:8" x14ac:dyDescent="0.45">
      <c r="A82" s="19">
        <v>44991</v>
      </c>
      <c r="B82" s="1" t="s">
        <v>85</v>
      </c>
      <c r="C82" s="1" t="s">
        <v>132</v>
      </c>
      <c r="D82" s="5">
        <v>125</v>
      </c>
      <c r="E82" s="5">
        <v>-0.3</v>
      </c>
      <c r="F82" s="5">
        <v>-14.24</v>
      </c>
      <c r="G82" s="5">
        <v>0</v>
      </c>
      <c r="H82" s="5">
        <f t="shared" si="1"/>
        <v>110.46000000000001</v>
      </c>
    </row>
    <row r="83" spans="1:8" x14ac:dyDescent="0.45">
      <c r="A83" s="19">
        <v>44992</v>
      </c>
      <c r="B83" s="1" t="s">
        <v>85</v>
      </c>
      <c r="C83" s="1" t="s">
        <v>46</v>
      </c>
      <c r="D83" s="5">
        <v>15</v>
      </c>
      <c r="E83" s="5">
        <v>-0.3</v>
      </c>
      <c r="F83" s="5">
        <v>-1.62</v>
      </c>
      <c r="G83" s="5">
        <v>0</v>
      </c>
      <c r="H83" s="5">
        <f t="shared" si="1"/>
        <v>13.079999999999998</v>
      </c>
    </row>
    <row r="84" spans="1:8" x14ac:dyDescent="0.45">
      <c r="A84" s="19">
        <v>44992</v>
      </c>
      <c r="B84" s="1" t="s">
        <v>85</v>
      </c>
      <c r="C84" s="1" t="s">
        <v>94</v>
      </c>
      <c r="D84" s="5">
        <v>49</v>
      </c>
      <c r="E84" s="5">
        <v>-0.3</v>
      </c>
      <c r="F84" s="5">
        <v>-5.31</v>
      </c>
      <c r="G84" s="5">
        <v>0</v>
      </c>
      <c r="H84" s="5">
        <f t="shared" si="1"/>
        <v>43.39</v>
      </c>
    </row>
    <row r="85" spans="1:8" x14ac:dyDescent="0.45">
      <c r="A85" s="19">
        <v>44992</v>
      </c>
      <c r="B85" s="1" t="s">
        <v>85</v>
      </c>
      <c r="C85" s="1" t="s">
        <v>27</v>
      </c>
      <c r="D85" s="5">
        <v>89</v>
      </c>
      <c r="E85" s="5">
        <v>-0.3</v>
      </c>
      <c r="F85" s="5">
        <v>-9.73</v>
      </c>
      <c r="G85" s="5">
        <v>0</v>
      </c>
      <c r="H85" s="5">
        <f t="shared" si="1"/>
        <v>78.97</v>
      </c>
    </row>
    <row r="86" spans="1:8" x14ac:dyDescent="0.45">
      <c r="A86" s="19">
        <v>44993</v>
      </c>
      <c r="B86" s="1" t="s">
        <v>85</v>
      </c>
      <c r="C86" s="1" t="s">
        <v>33</v>
      </c>
      <c r="D86" s="5">
        <v>25</v>
      </c>
      <c r="E86" s="5">
        <v>-0.3</v>
      </c>
      <c r="F86" s="5">
        <v>-2.73</v>
      </c>
      <c r="G86" s="5">
        <v>0</v>
      </c>
      <c r="H86" s="5">
        <f t="shared" si="1"/>
        <v>21.97</v>
      </c>
    </row>
    <row r="87" spans="1:8" x14ac:dyDescent="0.45">
      <c r="A87" s="19">
        <v>44993</v>
      </c>
      <c r="B87" s="1" t="s">
        <v>85</v>
      </c>
      <c r="C87" s="1" t="s">
        <v>133</v>
      </c>
      <c r="D87" s="5">
        <v>150</v>
      </c>
      <c r="E87" s="5">
        <v>-0.3</v>
      </c>
      <c r="F87" s="5">
        <v>-16.239999999999998</v>
      </c>
      <c r="G87" s="5">
        <v>0</v>
      </c>
      <c r="H87" s="5">
        <f t="shared" si="1"/>
        <v>133.45999999999998</v>
      </c>
    </row>
    <row r="88" spans="1:8" x14ac:dyDescent="0.45">
      <c r="A88" s="19">
        <v>44994</v>
      </c>
      <c r="B88" s="1" t="s">
        <v>85</v>
      </c>
      <c r="C88" s="1" t="s">
        <v>134</v>
      </c>
      <c r="D88" s="5">
        <v>39</v>
      </c>
      <c r="E88" s="5">
        <v>-0.3</v>
      </c>
      <c r="F88" s="5">
        <v>-4.4400000000000004</v>
      </c>
      <c r="G88" s="5">
        <v>0</v>
      </c>
      <c r="H88" s="5">
        <f t="shared" si="1"/>
        <v>34.260000000000005</v>
      </c>
    </row>
    <row r="89" spans="1:8" x14ac:dyDescent="0.45">
      <c r="A89" s="19">
        <v>44997</v>
      </c>
      <c r="B89" s="1" t="s">
        <v>85</v>
      </c>
      <c r="C89" s="1" t="s">
        <v>133</v>
      </c>
      <c r="D89" s="5">
        <v>179</v>
      </c>
      <c r="E89" s="5">
        <v>-0.3</v>
      </c>
      <c r="F89" s="5">
        <v>-19.38</v>
      </c>
      <c r="G89" s="5">
        <v>0</v>
      </c>
      <c r="H89" s="5">
        <f t="shared" si="1"/>
        <v>159.32</v>
      </c>
    </row>
    <row r="90" spans="1:8" x14ac:dyDescent="0.45">
      <c r="A90" s="19">
        <v>44997</v>
      </c>
      <c r="B90" s="1" t="s">
        <v>85</v>
      </c>
      <c r="C90" s="1" t="s">
        <v>135</v>
      </c>
      <c r="D90" s="5">
        <v>79</v>
      </c>
      <c r="E90" s="5">
        <v>-0.3</v>
      </c>
      <c r="F90" s="5">
        <v>-8.74</v>
      </c>
      <c r="G90" s="5">
        <v>0</v>
      </c>
      <c r="H90" s="5">
        <f t="shared" si="1"/>
        <v>69.960000000000008</v>
      </c>
    </row>
    <row r="91" spans="1:8" x14ac:dyDescent="0.45">
      <c r="A91" s="19">
        <v>44998</v>
      </c>
      <c r="B91" s="1" t="s">
        <v>85</v>
      </c>
      <c r="C91" s="1" t="s">
        <v>136</v>
      </c>
      <c r="D91" s="5">
        <v>39</v>
      </c>
      <c r="E91" s="5">
        <v>-0.3</v>
      </c>
      <c r="F91" s="5">
        <v>-4.26</v>
      </c>
      <c r="G91" s="5">
        <v>0</v>
      </c>
      <c r="H91" s="5">
        <f t="shared" si="1"/>
        <v>34.440000000000005</v>
      </c>
    </row>
    <row r="92" spans="1:8" x14ac:dyDescent="0.45">
      <c r="A92" s="19">
        <v>44998</v>
      </c>
      <c r="B92" s="1" t="s">
        <v>85</v>
      </c>
      <c r="C92" s="1" t="s">
        <v>137</v>
      </c>
      <c r="D92" s="5">
        <v>39</v>
      </c>
      <c r="E92" s="5">
        <v>-0.3</v>
      </c>
      <c r="F92" s="5">
        <v>-4.2</v>
      </c>
      <c r="G92" s="5">
        <v>0</v>
      </c>
      <c r="H92" s="5">
        <f t="shared" si="1"/>
        <v>34.5</v>
      </c>
    </row>
    <row r="93" spans="1:8" x14ac:dyDescent="0.45">
      <c r="A93" s="19">
        <v>44998</v>
      </c>
      <c r="B93" s="1" t="s">
        <v>85</v>
      </c>
      <c r="C93" s="1" t="s">
        <v>138</v>
      </c>
      <c r="D93" s="5">
        <v>280</v>
      </c>
      <c r="E93" s="5">
        <v>-0.3</v>
      </c>
      <c r="F93" s="5">
        <v>-30.32</v>
      </c>
      <c r="G93" s="5">
        <v>0</v>
      </c>
      <c r="H93" s="5">
        <f t="shared" si="1"/>
        <v>249.38</v>
      </c>
    </row>
    <row r="94" spans="1:8" x14ac:dyDescent="0.45">
      <c r="A94" s="19">
        <v>45000</v>
      </c>
      <c r="B94" s="1" t="s">
        <v>85</v>
      </c>
      <c r="C94" s="1" t="s">
        <v>139</v>
      </c>
      <c r="D94" s="5">
        <v>55</v>
      </c>
      <c r="E94" s="5">
        <v>-0.3</v>
      </c>
      <c r="F94" s="5">
        <v>-5.96</v>
      </c>
      <c r="G94" s="5">
        <v>0</v>
      </c>
      <c r="H94" s="5">
        <f t="shared" si="1"/>
        <v>48.74</v>
      </c>
    </row>
    <row r="95" spans="1:8" x14ac:dyDescent="0.45">
      <c r="A95" s="19">
        <v>45000</v>
      </c>
      <c r="B95" s="1" t="s">
        <v>85</v>
      </c>
      <c r="C95" s="1" t="s">
        <v>140</v>
      </c>
      <c r="D95" s="5">
        <v>15</v>
      </c>
      <c r="E95" s="5">
        <v>-0.3</v>
      </c>
      <c r="F95" s="5">
        <v>-1.64</v>
      </c>
      <c r="G95" s="5">
        <v>0</v>
      </c>
      <c r="H95" s="5">
        <f t="shared" si="1"/>
        <v>13.059999999999999</v>
      </c>
    </row>
    <row r="96" spans="1:8" x14ac:dyDescent="0.45">
      <c r="A96" s="19">
        <v>45000</v>
      </c>
      <c r="B96" s="1" t="s">
        <v>85</v>
      </c>
      <c r="C96" s="1" t="s">
        <v>40</v>
      </c>
      <c r="D96" s="5">
        <v>65</v>
      </c>
      <c r="E96" s="5">
        <v>-0.3</v>
      </c>
      <c r="F96" s="5">
        <v>-7.22</v>
      </c>
      <c r="G96" s="5">
        <v>0</v>
      </c>
      <c r="H96" s="5">
        <f t="shared" si="1"/>
        <v>57.480000000000004</v>
      </c>
    </row>
    <row r="97" spans="1:8" x14ac:dyDescent="0.45">
      <c r="A97" s="19">
        <v>45001</v>
      </c>
      <c r="B97" s="1" t="s">
        <v>85</v>
      </c>
      <c r="C97" s="1" t="s">
        <v>141</v>
      </c>
      <c r="D97" s="5">
        <v>39</v>
      </c>
      <c r="E97" s="5">
        <v>-0.3</v>
      </c>
      <c r="F97" s="5">
        <v>-4.24</v>
      </c>
      <c r="G97" s="5">
        <v>0</v>
      </c>
      <c r="H97" s="5">
        <f t="shared" si="1"/>
        <v>34.46</v>
      </c>
    </row>
    <row r="98" spans="1:8" x14ac:dyDescent="0.45">
      <c r="A98" s="19">
        <v>45001</v>
      </c>
      <c r="B98" s="1" t="s">
        <v>85</v>
      </c>
      <c r="C98" s="1" t="s">
        <v>97</v>
      </c>
      <c r="D98" s="5">
        <v>39</v>
      </c>
      <c r="E98" s="5">
        <v>-0.3</v>
      </c>
      <c r="F98" s="5">
        <v>-4.3</v>
      </c>
      <c r="G98" s="5">
        <v>0</v>
      </c>
      <c r="H98" s="5">
        <f t="shared" si="1"/>
        <v>34.400000000000006</v>
      </c>
    </row>
    <row r="99" spans="1:8" x14ac:dyDescent="0.45">
      <c r="A99" s="19">
        <v>45001</v>
      </c>
      <c r="B99" s="1" t="s">
        <v>85</v>
      </c>
      <c r="C99" s="1" t="s">
        <v>142</v>
      </c>
      <c r="D99" s="5">
        <v>40</v>
      </c>
      <c r="E99" s="5">
        <v>-0.3</v>
      </c>
      <c r="F99" s="5">
        <v>-4.46</v>
      </c>
      <c r="G99" s="5">
        <v>0</v>
      </c>
      <c r="H99" s="5">
        <f t="shared" si="1"/>
        <v>35.24</v>
      </c>
    </row>
    <row r="100" spans="1:8" x14ac:dyDescent="0.45">
      <c r="A100" s="19">
        <v>45002</v>
      </c>
      <c r="B100" s="1" t="s">
        <v>85</v>
      </c>
      <c r="C100" s="1" t="s">
        <v>143</v>
      </c>
      <c r="D100" s="5">
        <v>49</v>
      </c>
      <c r="E100" s="5">
        <v>-0.3</v>
      </c>
      <c r="F100" s="5">
        <v>-5.42</v>
      </c>
      <c r="G100" s="5">
        <v>0</v>
      </c>
      <c r="H100" s="5">
        <f t="shared" si="1"/>
        <v>43.28</v>
      </c>
    </row>
    <row r="101" spans="1:8" x14ac:dyDescent="0.45">
      <c r="A101" s="19">
        <v>45005</v>
      </c>
      <c r="B101" s="1" t="s">
        <v>85</v>
      </c>
      <c r="C101" s="1" t="s">
        <v>33</v>
      </c>
      <c r="D101" s="5">
        <v>29</v>
      </c>
      <c r="E101" s="5">
        <v>-0.3</v>
      </c>
      <c r="F101" s="5">
        <v>-3.17</v>
      </c>
      <c r="G101" s="5">
        <v>0</v>
      </c>
      <c r="H101" s="5">
        <f t="shared" si="1"/>
        <v>25.53</v>
      </c>
    </row>
    <row r="102" spans="1:8" x14ac:dyDescent="0.45">
      <c r="A102" s="19">
        <v>45006</v>
      </c>
      <c r="B102" s="1" t="s">
        <v>85</v>
      </c>
      <c r="C102" s="1" t="s">
        <v>144</v>
      </c>
      <c r="D102" s="5">
        <v>60</v>
      </c>
      <c r="E102" s="5">
        <v>-0.3</v>
      </c>
      <c r="F102" s="5">
        <v>-6.54</v>
      </c>
      <c r="G102" s="5">
        <v>0</v>
      </c>
      <c r="H102" s="5">
        <f t="shared" si="1"/>
        <v>53.160000000000004</v>
      </c>
    </row>
    <row r="103" spans="1:8" x14ac:dyDescent="0.45">
      <c r="A103" s="19">
        <v>45007</v>
      </c>
      <c r="B103" s="1" t="s">
        <v>85</v>
      </c>
      <c r="C103" s="1" t="s">
        <v>40</v>
      </c>
      <c r="D103" s="5">
        <v>40</v>
      </c>
      <c r="E103" s="5">
        <v>-0.3</v>
      </c>
      <c r="F103" s="5">
        <v>-4.37</v>
      </c>
      <c r="G103" s="5">
        <v>0</v>
      </c>
      <c r="H103" s="5">
        <f t="shared" si="1"/>
        <v>35.330000000000005</v>
      </c>
    </row>
    <row r="104" spans="1:8" x14ac:dyDescent="0.45">
      <c r="A104" s="19">
        <v>45008</v>
      </c>
      <c r="B104" s="1" t="s">
        <v>85</v>
      </c>
      <c r="C104" s="1" t="s">
        <v>145</v>
      </c>
      <c r="D104" s="5">
        <v>29</v>
      </c>
      <c r="E104" s="5">
        <v>-0.3</v>
      </c>
      <c r="F104" s="5">
        <v>-3.22</v>
      </c>
      <c r="G104" s="5">
        <v>0</v>
      </c>
      <c r="H104" s="5">
        <f t="shared" si="1"/>
        <v>25.48</v>
      </c>
    </row>
    <row r="105" spans="1:8" x14ac:dyDescent="0.45">
      <c r="A105" s="19">
        <v>45009</v>
      </c>
      <c r="B105" s="1" t="s">
        <v>85</v>
      </c>
      <c r="C105" s="1" t="s">
        <v>146</v>
      </c>
      <c r="D105" s="5">
        <v>49</v>
      </c>
      <c r="E105" s="5">
        <v>-0.3</v>
      </c>
      <c r="F105" s="5">
        <v>-5.31</v>
      </c>
      <c r="G105" s="5">
        <v>0</v>
      </c>
      <c r="H105" s="5">
        <f t="shared" si="1"/>
        <v>43.39</v>
      </c>
    </row>
    <row r="106" spans="1:8" x14ac:dyDescent="0.45">
      <c r="A106" s="19">
        <v>45009</v>
      </c>
      <c r="B106" s="1" t="s">
        <v>85</v>
      </c>
      <c r="C106" s="1" t="s">
        <v>147</v>
      </c>
      <c r="D106" s="5">
        <v>39</v>
      </c>
      <c r="E106" s="5">
        <v>-0.3</v>
      </c>
      <c r="F106" s="5">
        <v>-4.24</v>
      </c>
      <c r="G106" s="5">
        <v>0</v>
      </c>
      <c r="H106" s="5">
        <f t="shared" si="1"/>
        <v>34.46</v>
      </c>
    </row>
    <row r="107" spans="1:8" x14ac:dyDescent="0.45">
      <c r="A107" s="19">
        <v>45009</v>
      </c>
      <c r="B107" s="1" t="s">
        <v>85</v>
      </c>
      <c r="C107" s="1" t="s">
        <v>148</v>
      </c>
      <c r="D107" s="5">
        <v>49</v>
      </c>
      <c r="E107" s="5">
        <v>-0.3</v>
      </c>
      <c r="F107" s="5">
        <v>-5.42</v>
      </c>
      <c r="G107" s="5">
        <v>0</v>
      </c>
      <c r="H107" s="5">
        <f t="shared" si="1"/>
        <v>43.28</v>
      </c>
    </row>
    <row r="108" spans="1:8" x14ac:dyDescent="0.45">
      <c r="A108" s="19">
        <v>45011</v>
      </c>
      <c r="B108" s="1" t="s">
        <v>91</v>
      </c>
      <c r="C108" s="1" t="s">
        <v>149</v>
      </c>
      <c r="D108" s="5">
        <v>0</v>
      </c>
      <c r="E108" s="5">
        <v>0</v>
      </c>
      <c r="F108" s="5">
        <v>0</v>
      </c>
      <c r="G108" s="5">
        <v>-16.600000000000001</v>
      </c>
      <c r="H108" s="5">
        <f t="shared" si="1"/>
        <v>0</v>
      </c>
    </row>
    <row r="109" spans="1:8" x14ac:dyDescent="0.45">
      <c r="A109" s="19">
        <v>45011</v>
      </c>
      <c r="B109" s="1" t="s">
        <v>85</v>
      </c>
      <c r="C109" s="1" t="s">
        <v>149</v>
      </c>
      <c r="D109" s="5">
        <v>19</v>
      </c>
      <c r="E109" s="5">
        <v>-0.3</v>
      </c>
      <c r="F109" s="5">
        <v>-2.1</v>
      </c>
      <c r="G109" s="5">
        <v>0</v>
      </c>
      <c r="H109" s="5">
        <f t="shared" si="1"/>
        <v>16.599999999999998</v>
      </c>
    </row>
    <row r="110" spans="1:8" x14ac:dyDescent="0.45">
      <c r="A110" s="19">
        <v>45012</v>
      </c>
      <c r="B110" s="1" t="s">
        <v>85</v>
      </c>
      <c r="C110" s="1" t="s">
        <v>150</v>
      </c>
      <c r="D110" s="5">
        <v>25</v>
      </c>
      <c r="E110" s="5">
        <v>-0.3</v>
      </c>
      <c r="F110" s="5">
        <v>-2.68</v>
      </c>
      <c r="G110" s="5">
        <v>0</v>
      </c>
      <c r="H110" s="5">
        <f t="shared" si="1"/>
        <v>22.02</v>
      </c>
    </row>
    <row r="111" spans="1:8" x14ac:dyDescent="0.45">
      <c r="A111" s="19">
        <v>45012</v>
      </c>
      <c r="B111" s="1" t="s">
        <v>85</v>
      </c>
      <c r="C111" s="1" t="s">
        <v>151</v>
      </c>
      <c r="D111" s="5">
        <v>22</v>
      </c>
      <c r="E111" s="5">
        <v>-0.3</v>
      </c>
      <c r="F111" s="5">
        <v>-2.38</v>
      </c>
      <c r="G111" s="5">
        <v>0</v>
      </c>
      <c r="H111" s="5">
        <f t="shared" si="1"/>
        <v>19.32</v>
      </c>
    </row>
    <row r="112" spans="1:8" x14ac:dyDescent="0.45">
      <c r="A112" s="19">
        <v>45014</v>
      </c>
      <c r="B112" s="1" t="s">
        <v>85</v>
      </c>
      <c r="C112" s="1" t="s">
        <v>152</v>
      </c>
      <c r="D112" s="5">
        <v>19</v>
      </c>
      <c r="E112" s="5">
        <v>-0.3</v>
      </c>
      <c r="F112" s="5">
        <v>-2.06</v>
      </c>
      <c r="G112" s="5">
        <v>0</v>
      </c>
      <c r="H112" s="5">
        <f t="shared" si="1"/>
        <v>16.64</v>
      </c>
    </row>
    <row r="113" spans="1:8" x14ac:dyDescent="0.45">
      <c r="A113" s="19">
        <v>45015</v>
      </c>
      <c r="B113" s="1" t="s">
        <v>91</v>
      </c>
      <c r="C113" s="1" t="s">
        <v>32</v>
      </c>
      <c r="D113" s="5">
        <v>0</v>
      </c>
      <c r="E113" s="5">
        <v>0</v>
      </c>
      <c r="F113" s="5">
        <v>0</v>
      </c>
      <c r="G113" s="5">
        <v>-7.71</v>
      </c>
      <c r="H113" s="5">
        <f t="shared" si="1"/>
        <v>0</v>
      </c>
    </row>
    <row r="114" spans="1:8" x14ac:dyDescent="0.45">
      <c r="A114" s="19">
        <v>45015</v>
      </c>
      <c r="B114" s="1" t="s">
        <v>85</v>
      </c>
      <c r="C114" s="1" t="s">
        <v>32</v>
      </c>
      <c r="D114" s="5">
        <v>9</v>
      </c>
      <c r="E114" s="5">
        <v>-0.3</v>
      </c>
      <c r="F114" s="5">
        <v>-0.99</v>
      </c>
      <c r="G114" s="5">
        <v>0</v>
      </c>
      <c r="H114" s="5">
        <f t="shared" si="1"/>
        <v>7.7099999999999991</v>
      </c>
    </row>
    <row r="115" spans="1:8" x14ac:dyDescent="0.45">
      <c r="A115" s="19">
        <v>45016</v>
      </c>
      <c r="B115" s="1" t="s">
        <v>85</v>
      </c>
      <c r="C115" s="1" t="s">
        <v>42</v>
      </c>
      <c r="D115" s="5">
        <v>23</v>
      </c>
      <c r="E115" s="5">
        <v>-0.3</v>
      </c>
      <c r="F115" s="5">
        <v>-2.52</v>
      </c>
      <c r="G115" s="5">
        <v>0</v>
      </c>
      <c r="H115" s="5">
        <f t="shared" si="1"/>
        <v>20.18</v>
      </c>
    </row>
    <row r="116" spans="1:8" x14ac:dyDescent="0.45">
      <c r="A116" s="19">
        <v>45017</v>
      </c>
      <c r="B116" s="1" t="s">
        <v>85</v>
      </c>
      <c r="C116" s="1" t="s">
        <v>28</v>
      </c>
      <c r="D116" s="5">
        <v>50</v>
      </c>
      <c r="E116" s="5">
        <v>-0.3</v>
      </c>
      <c r="F116" s="5">
        <v>-5.47</v>
      </c>
      <c r="G116" s="5">
        <v>0</v>
      </c>
      <c r="H116" s="5">
        <f t="shared" si="1"/>
        <v>44.230000000000004</v>
      </c>
    </row>
    <row r="117" spans="1:8" x14ac:dyDescent="0.45">
      <c r="A117" s="19">
        <v>45018</v>
      </c>
      <c r="B117" s="1" t="s">
        <v>85</v>
      </c>
      <c r="C117" s="1" t="s">
        <v>99</v>
      </c>
      <c r="D117" s="5">
        <v>20</v>
      </c>
      <c r="E117" s="5">
        <v>-0.3</v>
      </c>
      <c r="F117" s="5">
        <v>-2.17</v>
      </c>
      <c r="G117" s="5">
        <v>0</v>
      </c>
      <c r="H117" s="5">
        <f t="shared" si="1"/>
        <v>17.53</v>
      </c>
    </row>
    <row r="118" spans="1:8" x14ac:dyDescent="0.45">
      <c r="A118" s="19">
        <v>45019</v>
      </c>
      <c r="B118" s="1" t="s">
        <v>85</v>
      </c>
      <c r="C118" s="1" t="s">
        <v>153</v>
      </c>
      <c r="D118" s="5">
        <v>69</v>
      </c>
      <c r="E118" s="5">
        <v>-0.3</v>
      </c>
      <c r="F118" s="5">
        <v>-7.52</v>
      </c>
      <c r="G118" s="5">
        <v>0</v>
      </c>
      <c r="H118" s="5">
        <f t="shared" si="1"/>
        <v>61.180000000000007</v>
      </c>
    </row>
    <row r="119" spans="1:8" x14ac:dyDescent="0.45">
      <c r="A119" s="19">
        <v>45019</v>
      </c>
      <c r="B119" s="1" t="s">
        <v>85</v>
      </c>
      <c r="C119" s="1" t="s">
        <v>154</v>
      </c>
      <c r="D119" s="5">
        <v>14</v>
      </c>
      <c r="E119" s="5">
        <v>-0.3</v>
      </c>
      <c r="F119" s="5">
        <v>-1.52</v>
      </c>
      <c r="G119" s="5">
        <v>0</v>
      </c>
      <c r="H119" s="5">
        <f t="shared" si="1"/>
        <v>12.18</v>
      </c>
    </row>
    <row r="120" spans="1:8" x14ac:dyDescent="0.45">
      <c r="A120" s="19">
        <v>45020</v>
      </c>
      <c r="B120" s="1" t="s">
        <v>85</v>
      </c>
      <c r="C120" s="1" t="s">
        <v>155</v>
      </c>
      <c r="D120" s="5">
        <v>15</v>
      </c>
      <c r="E120" s="5">
        <v>-0.3</v>
      </c>
      <c r="F120" s="5">
        <v>-1.67</v>
      </c>
      <c r="G120" s="5">
        <v>0</v>
      </c>
      <c r="H120" s="5">
        <f t="shared" si="1"/>
        <v>13.03</v>
      </c>
    </row>
    <row r="121" spans="1:8" x14ac:dyDescent="0.45">
      <c r="A121" s="19">
        <v>45020</v>
      </c>
      <c r="B121" s="1" t="s">
        <v>85</v>
      </c>
      <c r="C121" s="1" t="s">
        <v>156</v>
      </c>
      <c r="D121" s="5">
        <v>24</v>
      </c>
      <c r="E121" s="5">
        <v>-0.3</v>
      </c>
      <c r="F121" s="5">
        <v>-2.4500000000000002</v>
      </c>
      <c r="G121" s="5">
        <v>0</v>
      </c>
      <c r="H121" s="5">
        <f t="shared" si="1"/>
        <v>21.25</v>
      </c>
    </row>
    <row r="122" spans="1:8" x14ac:dyDescent="0.45">
      <c r="A122" s="19">
        <v>45020</v>
      </c>
      <c r="B122" s="1" t="s">
        <v>85</v>
      </c>
      <c r="C122" s="1" t="s">
        <v>99</v>
      </c>
      <c r="D122" s="5">
        <v>20</v>
      </c>
      <c r="E122" s="5">
        <v>-0.3</v>
      </c>
      <c r="F122" s="5">
        <v>-2.2200000000000002</v>
      </c>
      <c r="G122" s="5">
        <v>0</v>
      </c>
      <c r="H122" s="5">
        <f t="shared" si="1"/>
        <v>17.48</v>
      </c>
    </row>
    <row r="123" spans="1:8" x14ac:dyDescent="0.45">
      <c r="A123" s="19">
        <v>45020</v>
      </c>
      <c r="B123" s="1" t="s">
        <v>85</v>
      </c>
      <c r="C123" s="1" t="s">
        <v>99</v>
      </c>
      <c r="D123" s="5">
        <v>22</v>
      </c>
      <c r="E123" s="5">
        <v>-0.3</v>
      </c>
      <c r="F123" s="5">
        <v>-2.44</v>
      </c>
      <c r="G123" s="5">
        <v>0</v>
      </c>
      <c r="H123" s="5">
        <f t="shared" si="1"/>
        <v>19.259999999999998</v>
      </c>
    </row>
    <row r="124" spans="1:8" x14ac:dyDescent="0.45">
      <c r="A124" s="19">
        <v>45021</v>
      </c>
      <c r="B124" s="1" t="s">
        <v>85</v>
      </c>
      <c r="C124" s="1" t="s">
        <v>157</v>
      </c>
      <c r="D124" s="5">
        <v>59</v>
      </c>
      <c r="E124" s="5">
        <v>-0.3</v>
      </c>
      <c r="F124" s="5">
        <v>-6.46</v>
      </c>
      <c r="G124" s="5">
        <v>0</v>
      </c>
      <c r="H124" s="5">
        <f t="shared" si="1"/>
        <v>52.24</v>
      </c>
    </row>
    <row r="125" spans="1:8" x14ac:dyDescent="0.45">
      <c r="A125" s="19">
        <v>45021</v>
      </c>
      <c r="B125" s="1" t="s">
        <v>85</v>
      </c>
      <c r="C125" s="1" t="s">
        <v>158</v>
      </c>
      <c r="D125" s="5">
        <v>29</v>
      </c>
      <c r="E125" s="5">
        <v>-0.3</v>
      </c>
      <c r="F125" s="5">
        <v>-3.2</v>
      </c>
      <c r="G125" s="5">
        <v>0</v>
      </c>
      <c r="H125" s="5">
        <f t="shared" si="1"/>
        <v>25.5</v>
      </c>
    </row>
    <row r="126" spans="1:8" x14ac:dyDescent="0.45">
      <c r="A126" s="19">
        <v>45021</v>
      </c>
      <c r="B126" s="1" t="s">
        <v>85</v>
      </c>
      <c r="C126" s="1" t="s">
        <v>142</v>
      </c>
      <c r="D126" s="5">
        <v>49</v>
      </c>
      <c r="E126" s="5">
        <v>-0.3</v>
      </c>
      <c r="F126" s="5">
        <v>-5.38</v>
      </c>
      <c r="G126" s="5">
        <v>0</v>
      </c>
      <c r="H126" s="5">
        <f t="shared" si="1"/>
        <v>43.32</v>
      </c>
    </row>
    <row r="127" spans="1:8" x14ac:dyDescent="0.45">
      <c r="A127" s="19">
        <v>45021</v>
      </c>
      <c r="B127" s="1" t="s">
        <v>85</v>
      </c>
      <c r="C127" s="1" t="s">
        <v>159</v>
      </c>
      <c r="D127" s="5">
        <v>49</v>
      </c>
      <c r="E127" s="5">
        <v>-0.3</v>
      </c>
      <c r="F127" s="5">
        <v>-5.01</v>
      </c>
      <c r="G127" s="5">
        <v>0</v>
      </c>
      <c r="H127" s="5">
        <f t="shared" si="1"/>
        <v>43.690000000000005</v>
      </c>
    </row>
    <row r="128" spans="1:8" x14ac:dyDescent="0.45">
      <c r="A128" s="19">
        <v>45022</v>
      </c>
      <c r="B128" s="1" t="s">
        <v>85</v>
      </c>
      <c r="C128" s="1" t="s">
        <v>135</v>
      </c>
      <c r="D128" s="5">
        <v>69</v>
      </c>
      <c r="E128" s="5">
        <v>-0.3</v>
      </c>
      <c r="F128" s="5">
        <v>-7.47</v>
      </c>
      <c r="G128" s="5">
        <v>0</v>
      </c>
      <c r="H128" s="5">
        <f t="shared" si="1"/>
        <v>61.230000000000004</v>
      </c>
    </row>
    <row r="129" spans="1:8" x14ac:dyDescent="0.45">
      <c r="A129" s="19">
        <v>45022</v>
      </c>
      <c r="B129" s="1" t="s">
        <v>85</v>
      </c>
      <c r="C129" s="1" t="s">
        <v>33</v>
      </c>
      <c r="D129" s="5">
        <v>29</v>
      </c>
      <c r="E129" s="5">
        <v>-0.3</v>
      </c>
      <c r="F129" s="5">
        <v>-3.22</v>
      </c>
      <c r="G129" s="5">
        <v>0</v>
      </c>
      <c r="H129" s="5">
        <f t="shared" si="1"/>
        <v>25.48</v>
      </c>
    </row>
    <row r="130" spans="1:8" x14ac:dyDescent="0.45">
      <c r="A130" s="19">
        <v>45022</v>
      </c>
      <c r="B130" s="1" t="s">
        <v>85</v>
      </c>
      <c r="C130" s="1" t="s">
        <v>160</v>
      </c>
      <c r="D130" s="5">
        <v>60</v>
      </c>
      <c r="E130" s="5">
        <v>-0.3</v>
      </c>
      <c r="F130" s="5">
        <v>-6.5</v>
      </c>
      <c r="G130" s="5">
        <v>0</v>
      </c>
      <c r="H130" s="5">
        <f t="shared" si="1"/>
        <v>53.2</v>
      </c>
    </row>
    <row r="131" spans="1:8" x14ac:dyDescent="0.45">
      <c r="A131" s="19">
        <v>45023</v>
      </c>
      <c r="B131" s="1" t="s">
        <v>91</v>
      </c>
      <c r="C131" s="1" t="s">
        <v>99</v>
      </c>
      <c r="D131" s="5">
        <v>0</v>
      </c>
      <c r="E131" s="5">
        <v>0</v>
      </c>
      <c r="F131" s="5">
        <v>0</v>
      </c>
      <c r="G131" s="5">
        <v>-19.260000000000002</v>
      </c>
      <c r="H131" s="5">
        <f t="shared" ref="H131:H194" si="2">D131+E131+F131</f>
        <v>0</v>
      </c>
    </row>
    <row r="132" spans="1:8" x14ac:dyDescent="0.45">
      <c r="A132" s="19">
        <v>45023</v>
      </c>
      <c r="B132" s="1" t="s">
        <v>85</v>
      </c>
      <c r="C132" s="1" t="s">
        <v>161</v>
      </c>
      <c r="D132" s="5">
        <v>50</v>
      </c>
      <c r="E132" s="5">
        <v>-0.3</v>
      </c>
      <c r="F132" s="5">
        <v>-5.45</v>
      </c>
      <c r="G132" s="5">
        <v>0</v>
      </c>
      <c r="H132" s="5">
        <f t="shared" si="2"/>
        <v>44.25</v>
      </c>
    </row>
    <row r="133" spans="1:8" x14ac:dyDescent="0.45">
      <c r="A133" s="19">
        <v>45023</v>
      </c>
      <c r="B133" s="1" t="s">
        <v>85</v>
      </c>
      <c r="C133" s="1" t="s">
        <v>162</v>
      </c>
      <c r="D133" s="5">
        <v>40</v>
      </c>
      <c r="E133" s="5">
        <v>-0.3</v>
      </c>
      <c r="F133" s="5">
        <v>-4.37</v>
      </c>
      <c r="G133" s="5">
        <v>0</v>
      </c>
      <c r="H133" s="5">
        <f t="shared" si="2"/>
        <v>35.330000000000005</v>
      </c>
    </row>
    <row r="134" spans="1:8" x14ac:dyDescent="0.45">
      <c r="A134" s="19">
        <v>45024</v>
      </c>
      <c r="B134" s="1" t="s">
        <v>85</v>
      </c>
      <c r="C134" s="1" t="s">
        <v>163</v>
      </c>
      <c r="D134" s="5">
        <v>49</v>
      </c>
      <c r="E134" s="5">
        <v>-0.3</v>
      </c>
      <c r="F134" s="5">
        <v>-5.01</v>
      </c>
      <c r="G134" s="5">
        <v>0</v>
      </c>
      <c r="H134" s="5">
        <f t="shared" si="2"/>
        <v>43.690000000000005</v>
      </c>
    </row>
    <row r="135" spans="1:8" x14ac:dyDescent="0.45">
      <c r="A135" s="19">
        <v>45024</v>
      </c>
      <c r="B135" s="1" t="s">
        <v>85</v>
      </c>
      <c r="C135" s="1" t="s">
        <v>164</v>
      </c>
      <c r="D135" s="5">
        <v>19</v>
      </c>
      <c r="E135" s="5">
        <v>-0.3</v>
      </c>
      <c r="F135" s="5">
        <v>-2.06</v>
      </c>
      <c r="G135" s="5">
        <v>0</v>
      </c>
      <c r="H135" s="5">
        <f t="shared" si="2"/>
        <v>16.64</v>
      </c>
    </row>
    <row r="136" spans="1:8" x14ac:dyDescent="0.45">
      <c r="A136" s="19">
        <v>45024</v>
      </c>
      <c r="B136" s="1" t="s">
        <v>85</v>
      </c>
      <c r="C136" s="1" t="s">
        <v>165</v>
      </c>
      <c r="D136" s="5">
        <v>85</v>
      </c>
      <c r="E136" s="5">
        <v>-0.3</v>
      </c>
      <c r="F136" s="5">
        <v>-9.2899999999999991</v>
      </c>
      <c r="G136" s="5">
        <v>0</v>
      </c>
      <c r="H136" s="5">
        <f t="shared" si="2"/>
        <v>75.41</v>
      </c>
    </row>
    <row r="137" spans="1:8" x14ac:dyDescent="0.45">
      <c r="A137" s="19">
        <v>45024</v>
      </c>
      <c r="B137" s="1" t="s">
        <v>85</v>
      </c>
      <c r="C137" s="1" t="s">
        <v>166</v>
      </c>
      <c r="D137" s="5">
        <v>19</v>
      </c>
      <c r="E137" s="5">
        <v>-0.3</v>
      </c>
      <c r="F137" s="5">
        <v>-2.16</v>
      </c>
      <c r="G137" s="5">
        <v>0</v>
      </c>
      <c r="H137" s="5">
        <f t="shared" si="2"/>
        <v>16.54</v>
      </c>
    </row>
    <row r="138" spans="1:8" x14ac:dyDescent="0.45">
      <c r="A138" s="19">
        <v>45025</v>
      </c>
      <c r="B138" s="1" t="s">
        <v>85</v>
      </c>
      <c r="C138" s="1" t="s">
        <v>167</v>
      </c>
      <c r="D138" s="5">
        <v>25</v>
      </c>
      <c r="E138" s="5">
        <v>-0.3</v>
      </c>
      <c r="F138" s="5">
        <v>-2.71</v>
      </c>
      <c r="G138" s="5">
        <v>0</v>
      </c>
      <c r="H138" s="5">
        <f t="shared" si="2"/>
        <v>21.99</v>
      </c>
    </row>
    <row r="139" spans="1:8" x14ac:dyDescent="0.45">
      <c r="A139" s="19">
        <v>45025</v>
      </c>
      <c r="B139" s="1" t="s">
        <v>85</v>
      </c>
      <c r="C139" s="1" t="s">
        <v>168</v>
      </c>
      <c r="D139" s="5">
        <v>180</v>
      </c>
      <c r="E139" s="5">
        <v>-0.3</v>
      </c>
      <c r="F139" s="5">
        <v>-18.39</v>
      </c>
      <c r="G139" s="5">
        <v>0</v>
      </c>
      <c r="H139" s="5">
        <f t="shared" si="2"/>
        <v>161.31</v>
      </c>
    </row>
    <row r="140" spans="1:8" x14ac:dyDescent="0.45">
      <c r="A140" s="19">
        <v>45025</v>
      </c>
      <c r="B140" s="1" t="s">
        <v>85</v>
      </c>
      <c r="C140" s="1" t="s">
        <v>121</v>
      </c>
      <c r="D140" s="5">
        <v>39</v>
      </c>
      <c r="E140" s="5">
        <v>-0.3</v>
      </c>
      <c r="F140" s="5">
        <v>-4.25</v>
      </c>
      <c r="G140" s="5">
        <v>0</v>
      </c>
      <c r="H140" s="5">
        <f t="shared" si="2"/>
        <v>34.450000000000003</v>
      </c>
    </row>
    <row r="141" spans="1:8" x14ac:dyDescent="0.45">
      <c r="A141" s="19">
        <v>45025</v>
      </c>
      <c r="B141" s="1" t="s">
        <v>85</v>
      </c>
      <c r="C141" s="1" t="s">
        <v>169</v>
      </c>
      <c r="D141" s="5">
        <v>21.75</v>
      </c>
      <c r="E141" s="5">
        <v>-0.3</v>
      </c>
      <c r="F141" s="5">
        <v>-2.4</v>
      </c>
      <c r="G141" s="5">
        <v>0</v>
      </c>
      <c r="H141" s="5">
        <f t="shared" si="2"/>
        <v>19.05</v>
      </c>
    </row>
    <row r="142" spans="1:8" x14ac:dyDescent="0.45">
      <c r="A142" s="19">
        <v>45026</v>
      </c>
      <c r="B142" s="1" t="s">
        <v>85</v>
      </c>
      <c r="C142" s="1" t="s">
        <v>44</v>
      </c>
      <c r="D142" s="5">
        <v>59</v>
      </c>
      <c r="E142" s="5">
        <v>-0.3</v>
      </c>
      <c r="F142" s="5">
        <v>-6.39</v>
      </c>
      <c r="G142" s="5">
        <v>0</v>
      </c>
      <c r="H142" s="5">
        <f t="shared" si="2"/>
        <v>52.31</v>
      </c>
    </row>
    <row r="143" spans="1:8" x14ac:dyDescent="0.45">
      <c r="A143" s="19">
        <v>45027</v>
      </c>
      <c r="B143" s="1" t="s">
        <v>85</v>
      </c>
      <c r="C143" s="1" t="s">
        <v>170</v>
      </c>
      <c r="D143" s="5">
        <v>40</v>
      </c>
      <c r="E143" s="5">
        <v>-0.3</v>
      </c>
      <c r="F143" s="5">
        <v>-4.46</v>
      </c>
      <c r="G143" s="5">
        <v>0</v>
      </c>
      <c r="H143" s="5">
        <f t="shared" si="2"/>
        <v>35.24</v>
      </c>
    </row>
    <row r="144" spans="1:8" x14ac:dyDescent="0.45">
      <c r="A144" s="19">
        <v>45027</v>
      </c>
      <c r="B144" s="1" t="s">
        <v>85</v>
      </c>
      <c r="C144" s="1" t="s">
        <v>28</v>
      </c>
      <c r="D144" s="5">
        <v>50</v>
      </c>
      <c r="E144" s="5">
        <v>-0.3</v>
      </c>
      <c r="F144" s="5">
        <v>-5.45</v>
      </c>
      <c r="G144" s="5">
        <v>0</v>
      </c>
      <c r="H144" s="5">
        <f t="shared" si="2"/>
        <v>44.25</v>
      </c>
    </row>
    <row r="145" spans="1:8" x14ac:dyDescent="0.45">
      <c r="A145" s="19">
        <v>45028</v>
      </c>
      <c r="B145" s="1" t="s">
        <v>85</v>
      </c>
      <c r="C145" s="1" t="s">
        <v>171</v>
      </c>
      <c r="D145" s="5">
        <v>135</v>
      </c>
      <c r="E145" s="5">
        <v>-0.3</v>
      </c>
      <c r="F145" s="5">
        <v>-14.69</v>
      </c>
      <c r="G145" s="5">
        <v>0</v>
      </c>
      <c r="H145" s="5">
        <f t="shared" si="2"/>
        <v>120.00999999999999</v>
      </c>
    </row>
    <row r="146" spans="1:8" x14ac:dyDescent="0.45">
      <c r="A146" s="19">
        <v>45028</v>
      </c>
      <c r="B146" s="1" t="s">
        <v>85</v>
      </c>
      <c r="C146" s="1" t="s">
        <v>40</v>
      </c>
      <c r="D146" s="5">
        <v>70</v>
      </c>
      <c r="E146" s="5">
        <v>-0.3</v>
      </c>
      <c r="F146" s="5">
        <v>-7.6</v>
      </c>
      <c r="G146" s="5">
        <v>0</v>
      </c>
      <c r="H146" s="5">
        <f t="shared" si="2"/>
        <v>62.1</v>
      </c>
    </row>
    <row r="147" spans="1:8" x14ac:dyDescent="0.45">
      <c r="A147" s="19">
        <v>45029</v>
      </c>
      <c r="B147" s="1" t="s">
        <v>85</v>
      </c>
      <c r="C147" s="1" t="s">
        <v>99</v>
      </c>
      <c r="D147" s="5">
        <v>23</v>
      </c>
      <c r="E147" s="5">
        <v>-0.3</v>
      </c>
      <c r="F147" s="5">
        <v>-2.5299999999999998</v>
      </c>
      <c r="G147" s="5">
        <v>0</v>
      </c>
      <c r="H147" s="5">
        <f t="shared" si="2"/>
        <v>20.169999999999998</v>
      </c>
    </row>
    <row r="148" spans="1:8" x14ac:dyDescent="0.45">
      <c r="A148" s="19">
        <v>45029</v>
      </c>
      <c r="B148" s="1" t="s">
        <v>85</v>
      </c>
      <c r="C148" s="1" t="s">
        <v>141</v>
      </c>
      <c r="D148" s="5">
        <v>49</v>
      </c>
      <c r="E148" s="5">
        <v>-0.3</v>
      </c>
      <c r="F148" s="5">
        <v>-5.44</v>
      </c>
      <c r="G148" s="5">
        <v>0</v>
      </c>
      <c r="H148" s="5">
        <f t="shared" si="2"/>
        <v>43.260000000000005</v>
      </c>
    </row>
    <row r="149" spans="1:8" x14ac:dyDescent="0.45">
      <c r="A149" s="19">
        <v>45029</v>
      </c>
      <c r="B149" s="1" t="s">
        <v>85</v>
      </c>
      <c r="C149" s="1" t="s">
        <v>172</v>
      </c>
      <c r="D149" s="5">
        <v>120</v>
      </c>
      <c r="E149" s="5">
        <v>-0.3</v>
      </c>
      <c r="F149" s="5">
        <v>-13.05</v>
      </c>
      <c r="G149" s="5">
        <v>0</v>
      </c>
      <c r="H149" s="5">
        <f t="shared" si="2"/>
        <v>106.65</v>
      </c>
    </row>
    <row r="150" spans="1:8" x14ac:dyDescent="0.45">
      <c r="A150" s="19">
        <v>45030</v>
      </c>
      <c r="B150" s="1" t="s">
        <v>85</v>
      </c>
      <c r="C150" s="1" t="s">
        <v>173</v>
      </c>
      <c r="D150" s="5">
        <v>109</v>
      </c>
      <c r="E150" s="5">
        <v>-0.3</v>
      </c>
      <c r="F150" s="5">
        <v>-11.8</v>
      </c>
      <c r="G150" s="5">
        <v>0</v>
      </c>
      <c r="H150" s="5">
        <f t="shared" si="2"/>
        <v>96.9</v>
      </c>
    </row>
    <row r="151" spans="1:8" x14ac:dyDescent="0.45">
      <c r="A151" s="19">
        <v>45030</v>
      </c>
      <c r="B151" s="1" t="s">
        <v>85</v>
      </c>
      <c r="C151" s="1" t="s">
        <v>174</v>
      </c>
      <c r="D151" s="5">
        <v>30</v>
      </c>
      <c r="E151" s="5">
        <v>-0.3</v>
      </c>
      <c r="F151" s="5">
        <v>-3.26</v>
      </c>
      <c r="G151" s="5">
        <v>0</v>
      </c>
      <c r="H151" s="5">
        <f t="shared" si="2"/>
        <v>26.439999999999998</v>
      </c>
    </row>
    <row r="152" spans="1:8" x14ac:dyDescent="0.45">
      <c r="A152" s="19">
        <v>45030</v>
      </c>
      <c r="B152" s="1" t="s">
        <v>85</v>
      </c>
      <c r="C152" s="1" t="s">
        <v>143</v>
      </c>
      <c r="D152" s="5">
        <v>39</v>
      </c>
      <c r="E152" s="5">
        <v>-0.3</v>
      </c>
      <c r="F152" s="5">
        <v>-4.32</v>
      </c>
      <c r="G152" s="5">
        <v>0</v>
      </c>
      <c r="H152" s="5">
        <f t="shared" si="2"/>
        <v>34.380000000000003</v>
      </c>
    </row>
    <row r="153" spans="1:8" x14ac:dyDescent="0.45">
      <c r="A153" s="19">
        <v>45030</v>
      </c>
      <c r="B153" s="1" t="s">
        <v>85</v>
      </c>
      <c r="C153" s="1" t="s">
        <v>36</v>
      </c>
      <c r="D153" s="5">
        <v>15</v>
      </c>
      <c r="E153" s="5">
        <v>-0.3</v>
      </c>
      <c r="F153" s="5">
        <v>-1.66</v>
      </c>
      <c r="G153" s="5">
        <v>0</v>
      </c>
      <c r="H153" s="5">
        <f t="shared" si="2"/>
        <v>13.04</v>
      </c>
    </row>
    <row r="154" spans="1:8" x14ac:dyDescent="0.45">
      <c r="A154" s="19">
        <v>45031</v>
      </c>
      <c r="B154" s="1" t="s">
        <v>85</v>
      </c>
      <c r="C154" s="1" t="s">
        <v>107</v>
      </c>
      <c r="D154" s="5">
        <v>29</v>
      </c>
      <c r="E154" s="5">
        <v>-0.3</v>
      </c>
      <c r="F154" s="5">
        <v>-3.17</v>
      </c>
      <c r="G154" s="5">
        <v>0</v>
      </c>
      <c r="H154" s="5">
        <f t="shared" si="2"/>
        <v>25.53</v>
      </c>
    </row>
    <row r="155" spans="1:8" x14ac:dyDescent="0.45">
      <c r="A155" s="19">
        <v>45031</v>
      </c>
      <c r="B155" s="1" t="s">
        <v>85</v>
      </c>
      <c r="C155" s="1" t="s">
        <v>175</v>
      </c>
      <c r="D155" s="5">
        <v>19</v>
      </c>
      <c r="E155" s="5">
        <v>-0.3</v>
      </c>
      <c r="F155" s="5">
        <v>-2.1</v>
      </c>
      <c r="G155" s="5">
        <v>0</v>
      </c>
      <c r="H155" s="5">
        <f t="shared" si="2"/>
        <v>16.599999999999998</v>
      </c>
    </row>
    <row r="156" spans="1:8" x14ac:dyDescent="0.45">
      <c r="A156" s="19">
        <v>45032</v>
      </c>
      <c r="B156" s="1" t="s">
        <v>85</v>
      </c>
      <c r="C156" s="1" t="s">
        <v>157</v>
      </c>
      <c r="D156" s="5">
        <v>49</v>
      </c>
      <c r="E156" s="5">
        <v>-0.3</v>
      </c>
      <c r="F156" s="5">
        <v>-5.36</v>
      </c>
      <c r="G156" s="5">
        <v>0</v>
      </c>
      <c r="H156" s="5">
        <f t="shared" si="2"/>
        <v>43.34</v>
      </c>
    </row>
    <row r="157" spans="1:8" x14ac:dyDescent="0.45">
      <c r="A157" s="19">
        <v>45032</v>
      </c>
      <c r="B157" s="1" t="s">
        <v>85</v>
      </c>
      <c r="C157" s="1" t="s">
        <v>29</v>
      </c>
      <c r="D157" s="5">
        <v>39</v>
      </c>
      <c r="E157" s="5">
        <v>-0.3</v>
      </c>
      <c r="F157" s="5">
        <v>-4.18</v>
      </c>
      <c r="G157" s="5">
        <v>0</v>
      </c>
      <c r="H157" s="5">
        <f t="shared" si="2"/>
        <v>34.520000000000003</v>
      </c>
    </row>
    <row r="158" spans="1:8" x14ac:dyDescent="0.45">
      <c r="A158" s="19">
        <v>45032</v>
      </c>
      <c r="B158" s="1" t="s">
        <v>85</v>
      </c>
      <c r="C158" s="1" t="s">
        <v>176</v>
      </c>
      <c r="D158" s="5">
        <v>19</v>
      </c>
      <c r="E158" s="5">
        <v>-0.3</v>
      </c>
      <c r="F158" s="5">
        <v>-2.5099999999999998</v>
      </c>
      <c r="G158" s="5">
        <v>0</v>
      </c>
      <c r="H158" s="5">
        <f t="shared" si="2"/>
        <v>16.189999999999998</v>
      </c>
    </row>
    <row r="159" spans="1:8" x14ac:dyDescent="0.45">
      <c r="A159" s="19">
        <v>45033</v>
      </c>
      <c r="B159" s="1" t="s">
        <v>85</v>
      </c>
      <c r="C159" s="1" t="s">
        <v>177</v>
      </c>
      <c r="D159" s="5">
        <v>29</v>
      </c>
      <c r="E159" s="5">
        <v>-0.3</v>
      </c>
      <c r="F159" s="5">
        <v>-3.26</v>
      </c>
      <c r="G159" s="5">
        <v>0</v>
      </c>
      <c r="H159" s="5">
        <f t="shared" si="2"/>
        <v>25.439999999999998</v>
      </c>
    </row>
    <row r="160" spans="1:8" x14ac:dyDescent="0.45">
      <c r="A160" s="19">
        <v>45033</v>
      </c>
      <c r="B160" s="1" t="s">
        <v>85</v>
      </c>
      <c r="C160" s="1" t="s">
        <v>163</v>
      </c>
      <c r="D160" s="5">
        <v>40</v>
      </c>
      <c r="E160" s="5">
        <v>-0.3</v>
      </c>
      <c r="F160" s="5">
        <v>-4.3600000000000003</v>
      </c>
      <c r="G160" s="5">
        <v>0</v>
      </c>
      <c r="H160" s="5">
        <f t="shared" si="2"/>
        <v>35.340000000000003</v>
      </c>
    </row>
    <row r="161" spans="1:8" x14ac:dyDescent="0.45">
      <c r="A161" s="19">
        <v>45033</v>
      </c>
      <c r="B161" s="1" t="s">
        <v>85</v>
      </c>
      <c r="C161" s="1" t="s">
        <v>176</v>
      </c>
      <c r="D161" s="5">
        <v>19</v>
      </c>
      <c r="E161" s="5">
        <v>-0.3</v>
      </c>
      <c r="F161" s="5">
        <v>-2.5499999999999998</v>
      </c>
      <c r="G161" s="5">
        <v>0</v>
      </c>
      <c r="H161" s="5">
        <f t="shared" si="2"/>
        <v>16.149999999999999</v>
      </c>
    </row>
    <row r="162" spans="1:8" x14ac:dyDescent="0.45">
      <c r="A162" s="19">
        <v>45033</v>
      </c>
      <c r="B162" s="1" t="s">
        <v>85</v>
      </c>
      <c r="C162" s="1" t="s">
        <v>178</v>
      </c>
      <c r="D162" s="5">
        <v>109</v>
      </c>
      <c r="E162" s="5">
        <v>-0.3</v>
      </c>
      <c r="F162" s="5">
        <v>-12.25</v>
      </c>
      <c r="G162" s="5">
        <v>0</v>
      </c>
      <c r="H162" s="5">
        <f t="shared" si="2"/>
        <v>96.45</v>
      </c>
    </row>
    <row r="163" spans="1:8" x14ac:dyDescent="0.45">
      <c r="A163" s="19">
        <v>45033</v>
      </c>
      <c r="B163" s="1" t="s">
        <v>85</v>
      </c>
      <c r="C163" s="1" t="s">
        <v>46</v>
      </c>
      <c r="D163" s="5">
        <v>16</v>
      </c>
      <c r="E163" s="5">
        <v>-0.3</v>
      </c>
      <c r="F163" s="5">
        <v>-1.77</v>
      </c>
      <c r="G163" s="5">
        <v>0</v>
      </c>
      <c r="H163" s="5">
        <f t="shared" si="2"/>
        <v>13.93</v>
      </c>
    </row>
    <row r="164" spans="1:8" x14ac:dyDescent="0.45">
      <c r="A164" s="19">
        <v>45033</v>
      </c>
      <c r="B164" s="1" t="s">
        <v>85</v>
      </c>
      <c r="C164" s="1" t="s">
        <v>149</v>
      </c>
      <c r="D164" s="5">
        <v>29</v>
      </c>
      <c r="E164" s="5">
        <v>-0.3</v>
      </c>
      <c r="F164" s="5">
        <v>-3.19</v>
      </c>
      <c r="G164" s="5">
        <v>0</v>
      </c>
      <c r="H164" s="5">
        <f t="shared" si="2"/>
        <v>25.509999999999998</v>
      </c>
    </row>
    <row r="165" spans="1:8" x14ac:dyDescent="0.45">
      <c r="A165" s="19">
        <v>45034</v>
      </c>
      <c r="B165" s="1" t="s">
        <v>85</v>
      </c>
      <c r="C165" s="1" t="s">
        <v>179</v>
      </c>
      <c r="D165" s="5">
        <v>19</v>
      </c>
      <c r="E165" s="5">
        <v>-0.3</v>
      </c>
      <c r="F165" s="5">
        <v>-2.09</v>
      </c>
      <c r="G165" s="5">
        <v>0</v>
      </c>
      <c r="H165" s="5">
        <f t="shared" si="2"/>
        <v>16.61</v>
      </c>
    </row>
    <row r="166" spans="1:8" x14ac:dyDescent="0.45">
      <c r="A166" s="19">
        <v>45034</v>
      </c>
      <c r="B166" s="1" t="s">
        <v>85</v>
      </c>
      <c r="C166" s="1" t="s">
        <v>180</v>
      </c>
      <c r="D166" s="5">
        <v>65</v>
      </c>
      <c r="E166" s="5">
        <v>-0.3</v>
      </c>
      <c r="F166" s="5">
        <v>-7.12</v>
      </c>
      <c r="G166" s="5">
        <v>0</v>
      </c>
      <c r="H166" s="5">
        <f t="shared" si="2"/>
        <v>57.580000000000005</v>
      </c>
    </row>
    <row r="167" spans="1:8" x14ac:dyDescent="0.45">
      <c r="A167" s="19">
        <v>45034</v>
      </c>
      <c r="B167" s="1" t="s">
        <v>85</v>
      </c>
      <c r="C167" s="1" t="s">
        <v>181</v>
      </c>
      <c r="D167" s="5">
        <v>15</v>
      </c>
      <c r="E167" s="5">
        <v>-0.3</v>
      </c>
      <c r="F167" s="5">
        <v>-1.53</v>
      </c>
      <c r="G167" s="5">
        <v>0</v>
      </c>
      <c r="H167" s="5">
        <f t="shared" si="2"/>
        <v>13.17</v>
      </c>
    </row>
    <row r="168" spans="1:8" x14ac:dyDescent="0.45">
      <c r="A168" s="19">
        <v>45035</v>
      </c>
      <c r="B168" s="1" t="s">
        <v>85</v>
      </c>
      <c r="C168" s="1" t="s">
        <v>182</v>
      </c>
      <c r="D168" s="5">
        <v>19</v>
      </c>
      <c r="E168" s="5">
        <v>-0.3</v>
      </c>
      <c r="F168" s="5">
        <v>-2.16</v>
      </c>
      <c r="G168" s="5">
        <v>0</v>
      </c>
      <c r="H168" s="5">
        <f t="shared" si="2"/>
        <v>16.54</v>
      </c>
    </row>
    <row r="169" spans="1:8" x14ac:dyDescent="0.45">
      <c r="A169" s="19">
        <v>45036</v>
      </c>
      <c r="B169" s="1" t="s">
        <v>85</v>
      </c>
      <c r="C169" s="1" t="s">
        <v>43</v>
      </c>
      <c r="D169" s="5">
        <v>50</v>
      </c>
      <c r="E169" s="5">
        <v>-0.3</v>
      </c>
      <c r="F169" s="5">
        <v>-5.47</v>
      </c>
      <c r="G169" s="5">
        <v>0</v>
      </c>
      <c r="H169" s="5">
        <f t="shared" si="2"/>
        <v>44.230000000000004</v>
      </c>
    </row>
    <row r="170" spans="1:8" x14ac:dyDescent="0.45">
      <c r="A170" s="19">
        <v>45037</v>
      </c>
      <c r="B170" s="1" t="s">
        <v>85</v>
      </c>
      <c r="C170" s="1" t="s">
        <v>49</v>
      </c>
      <c r="D170" s="5">
        <v>15</v>
      </c>
      <c r="E170" s="5">
        <v>-0.3</v>
      </c>
      <c r="F170" s="5">
        <v>-1.64</v>
      </c>
      <c r="G170" s="5">
        <v>0</v>
      </c>
      <c r="H170" s="5">
        <f t="shared" si="2"/>
        <v>13.059999999999999</v>
      </c>
    </row>
    <row r="171" spans="1:8" x14ac:dyDescent="0.45">
      <c r="A171" s="19">
        <v>45037</v>
      </c>
      <c r="B171" s="1" t="s">
        <v>85</v>
      </c>
      <c r="C171" s="1" t="s">
        <v>183</v>
      </c>
      <c r="D171" s="5">
        <v>125</v>
      </c>
      <c r="E171" s="5">
        <v>-0.3</v>
      </c>
      <c r="F171" s="5">
        <v>-13.53</v>
      </c>
      <c r="G171" s="5">
        <v>0</v>
      </c>
      <c r="H171" s="5">
        <f t="shared" si="2"/>
        <v>111.17</v>
      </c>
    </row>
    <row r="172" spans="1:8" x14ac:dyDescent="0.45">
      <c r="A172" s="19">
        <v>45037</v>
      </c>
      <c r="B172" s="1" t="s">
        <v>85</v>
      </c>
      <c r="C172" s="1" t="s">
        <v>184</v>
      </c>
      <c r="D172" s="5">
        <v>45</v>
      </c>
      <c r="E172" s="5">
        <v>-0.3</v>
      </c>
      <c r="F172" s="5">
        <v>-4.92</v>
      </c>
      <c r="G172" s="5">
        <v>0</v>
      </c>
      <c r="H172" s="5">
        <f t="shared" si="2"/>
        <v>39.78</v>
      </c>
    </row>
    <row r="173" spans="1:8" x14ac:dyDescent="0.45">
      <c r="A173" s="19">
        <v>45038</v>
      </c>
      <c r="B173" s="1" t="s">
        <v>85</v>
      </c>
      <c r="C173" s="1" t="s">
        <v>185</v>
      </c>
      <c r="D173" s="5">
        <v>39</v>
      </c>
      <c r="E173" s="5">
        <v>-0.3</v>
      </c>
      <c r="F173" s="5">
        <v>-4.26</v>
      </c>
      <c r="G173" s="5">
        <v>0</v>
      </c>
      <c r="H173" s="5">
        <f t="shared" si="2"/>
        <v>34.440000000000005</v>
      </c>
    </row>
    <row r="174" spans="1:8" x14ac:dyDescent="0.45">
      <c r="A174" s="19">
        <v>45039</v>
      </c>
      <c r="B174" s="1" t="s">
        <v>85</v>
      </c>
      <c r="C174" s="1" t="s">
        <v>186</v>
      </c>
      <c r="D174" s="5">
        <v>39</v>
      </c>
      <c r="E174" s="5">
        <v>-0.3</v>
      </c>
      <c r="F174" s="5">
        <v>-4.26</v>
      </c>
      <c r="G174" s="5">
        <v>0</v>
      </c>
      <c r="H174" s="5">
        <f t="shared" si="2"/>
        <v>34.440000000000005</v>
      </c>
    </row>
    <row r="175" spans="1:8" x14ac:dyDescent="0.45">
      <c r="A175" s="19">
        <v>45040</v>
      </c>
      <c r="B175" s="1" t="s">
        <v>85</v>
      </c>
      <c r="C175" s="1" t="s">
        <v>187</v>
      </c>
      <c r="D175" s="5">
        <v>29</v>
      </c>
      <c r="E175" s="5">
        <v>-0.3</v>
      </c>
      <c r="F175" s="5">
        <v>-3.14</v>
      </c>
      <c r="G175" s="5">
        <v>0</v>
      </c>
      <c r="H175" s="5">
        <f t="shared" si="2"/>
        <v>25.56</v>
      </c>
    </row>
    <row r="176" spans="1:8" x14ac:dyDescent="0.45">
      <c r="A176" s="19">
        <v>45041</v>
      </c>
      <c r="B176" s="1" t="s">
        <v>85</v>
      </c>
      <c r="C176" s="1" t="s">
        <v>188</v>
      </c>
      <c r="D176" s="5">
        <v>29</v>
      </c>
      <c r="E176" s="5">
        <v>-0.3</v>
      </c>
      <c r="F176" s="5">
        <v>-3.14</v>
      </c>
      <c r="G176" s="5">
        <v>0</v>
      </c>
      <c r="H176" s="5">
        <f t="shared" si="2"/>
        <v>25.56</v>
      </c>
    </row>
    <row r="177" spans="1:8" x14ac:dyDescent="0.45">
      <c r="A177" s="19">
        <v>45043</v>
      </c>
      <c r="B177" s="1" t="s">
        <v>85</v>
      </c>
      <c r="C177" s="1" t="s">
        <v>189</v>
      </c>
      <c r="D177" s="5">
        <v>29</v>
      </c>
      <c r="E177" s="5">
        <v>-0.3</v>
      </c>
      <c r="F177" s="5">
        <v>-3.18</v>
      </c>
      <c r="G177" s="5">
        <v>0</v>
      </c>
      <c r="H177" s="5">
        <f t="shared" si="2"/>
        <v>25.52</v>
      </c>
    </row>
    <row r="178" spans="1:8" x14ac:dyDescent="0.45">
      <c r="A178" s="19">
        <v>45046</v>
      </c>
      <c r="B178" s="1" t="s">
        <v>85</v>
      </c>
      <c r="C178" s="1" t="s">
        <v>190</v>
      </c>
      <c r="D178" s="5">
        <v>35</v>
      </c>
      <c r="E178" s="5">
        <v>-0.3</v>
      </c>
      <c r="F178" s="5">
        <v>-3.79</v>
      </c>
      <c r="G178" s="5">
        <v>0</v>
      </c>
      <c r="H178" s="5">
        <f t="shared" si="2"/>
        <v>30.910000000000004</v>
      </c>
    </row>
    <row r="179" spans="1:8" x14ac:dyDescent="0.45">
      <c r="A179" s="19">
        <v>45047</v>
      </c>
      <c r="B179" s="1" t="s">
        <v>85</v>
      </c>
      <c r="C179" s="1" t="s">
        <v>191</v>
      </c>
      <c r="D179" s="5">
        <v>39</v>
      </c>
      <c r="E179" s="5">
        <v>-0.3</v>
      </c>
      <c r="F179" s="5">
        <v>-4.26</v>
      </c>
      <c r="G179" s="5">
        <v>0</v>
      </c>
      <c r="H179" s="5">
        <f t="shared" si="2"/>
        <v>34.440000000000005</v>
      </c>
    </row>
    <row r="180" spans="1:8" x14ac:dyDescent="0.45">
      <c r="A180" s="19">
        <v>45047</v>
      </c>
      <c r="B180" s="1" t="s">
        <v>85</v>
      </c>
      <c r="C180" s="1" t="s">
        <v>192</v>
      </c>
      <c r="D180" s="5">
        <v>35</v>
      </c>
      <c r="E180" s="5">
        <v>-0.3</v>
      </c>
      <c r="F180" s="5">
        <v>-3.87</v>
      </c>
      <c r="G180" s="5">
        <v>0</v>
      </c>
      <c r="H180" s="5">
        <f t="shared" si="2"/>
        <v>30.830000000000002</v>
      </c>
    </row>
    <row r="181" spans="1:8" x14ac:dyDescent="0.45">
      <c r="A181" s="19">
        <v>45047</v>
      </c>
      <c r="B181" s="1" t="s">
        <v>85</v>
      </c>
      <c r="C181" s="1" t="s">
        <v>193</v>
      </c>
      <c r="D181" s="5">
        <v>33</v>
      </c>
      <c r="E181" s="5">
        <v>-0.3</v>
      </c>
      <c r="F181" s="5">
        <v>-3.64</v>
      </c>
      <c r="G181" s="5">
        <v>0</v>
      </c>
      <c r="H181" s="5">
        <f t="shared" si="2"/>
        <v>29.060000000000002</v>
      </c>
    </row>
    <row r="182" spans="1:8" x14ac:dyDescent="0.45">
      <c r="A182" s="19">
        <v>45047</v>
      </c>
      <c r="B182" s="1" t="s">
        <v>85</v>
      </c>
      <c r="C182" s="1" t="s">
        <v>194</v>
      </c>
      <c r="D182" s="5">
        <v>19</v>
      </c>
      <c r="E182" s="5">
        <v>-0.3</v>
      </c>
      <c r="F182" s="5">
        <v>-2.0499999999999998</v>
      </c>
      <c r="G182" s="5">
        <v>0</v>
      </c>
      <c r="H182" s="5">
        <f t="shared" si="2"/>
        <v>16.649999999999999</v>
      </c>
    </row>
    <row r="183" spans="1:8" x14ac:dyDescent="0.45">
      <c r="A183" s="19">
        <v>45048</v>
      </c>
      <c r="B183" s="1" t="s">
        <v>85</v>
      </c>
      <c r="C183" s="1" t="s">
        <v>195</v>
      </c>
      <c r="D183" s="5">
        <v>35</v>
      </c>
      <c r="E183" s="5">
        <v>-0.3</v>
      </c>
      <c r="F183" s="5">
        <v>-3.79</v>
      </c>
      <c r="G183" s="5">
        <v>0</v>
      </c>
      <c r="H183" s="5">
        <f t="shared" si="2"/>
        <v>30.910000000000004</v>
      </c>
    </row>
    <row r="184" spans="1:8" x14ac:dyDescent="0.45">
      <c r="A184" s="19">
        <v>45048</v>
      </c>
      <c r="B184" s="1" t="s">
        <v>85</v>
      </c>
      <c r="C184" s="1" t="s">
        <v>196</v>
      </c>
      <c r="D184" s="5">
        <v>39</v>
      </c>
      <c r="E184" s="5">
        <v>-0.3</v>
      </c>
      <c r="F184" s="5">
        <v>-4.26</v>
      </c>
      <c r="G184" s="5">
        <v>0</v>
      </c>
      <c r="H184" s="5">
        <f t="shared" si="2"/>
        <v>34.440000000000005</v>
      </c>
    </row>
    <row r="185" spans="1:8" x14ac:dyDescent="0.45">
      <c r="A185" s="19">
        <v>45049</v>
      </c>
      <c r="B185" s="1" t="s">
        <v>85</v>
      </c>
      <c r="C185" s="1" t="s">
        <v>197</v>
      </c>
      <c r="D185" s="5">
        <v>39</v>
      </c>
      <c r="E185" s="5">
        <v>-0.3</v>
      </c>
      <c r="F185" s="5">
        <v>-4.22</v>
      </c>
      <c r="G185" s="5">
        <v>0</v>
      </c>
      <c r="H185" s="5">
        <f t="shared" si="2"/>
        <v>34.480000000000004</v>
      </c>
    </row>
    <row r="186" spans="1:8" x14ac:dyDescent="0.45">
      <c r="A186" s="19">
        <v>45050</v>
      </c>
      <c r="B186" s="1" t="s">
        <v>85</v>
      </c>
      <c r="C186" s="1" t="s">
        <v>198</v>
      </c>
      <c r="D186" s="5">
        <v>23</v>
      </c>
      <c r="E186" s="5">
        <v>-0.3</v>
      </c>
      <c r="F186" s="5">
        <v>-2.54</v>
      </c>
      <c r="G186" s="5">
        <v>0</v>
      </c>
      <c r="H186" s="5">
        <f t="shared" si="2"/>
        <v>20.16</v>
      </c>
    </row>
    <row r="187" spans="1:8" x14ac:dyDescent="0.45">
      <c r="A187" s="19">
        <v>45050</v>
      </c>
      <c r="B187" s="1" t="s">
        <v>85</v>
      </c>
      <c r="C187" s="1" t="s">
        <v>199</v>
      </c>
      <c r="D187" s="5">
        <v>29</v>
      </c>
      <c r="E187" s="5">
        <v>-0.3</v>
      </c>
      <c r="F187" s="5">
        <v>-3.17</v>
      </c>
      <c r="G187" s="5">
        <v>0</v>
      </c>
      <c r="H187" s="5">
        <f t="shared" si="2"/>
        <v>25.53</v>
      </c>
    </row>
    <row r="188" spans="1:8" x14ac:dyDescent="0.45">
      <c r="A188" s="19">
        <v>45050</v>
      </c>
      <c r="B188" s="1" t="s">
        <v>85</v>
      </c>
      <c r="C188" s="1" t="s">
        <v>200</v>
      </c>
      <c r="D188" s="5">
        <v>12</v>
      </c>
      <c r="E188" s="5">
        <v>-0.3</v>
      </c>
      <c r="F188" s="5">
        <v>-1.31</v>
      </c>
      <c r="G188" s="5">
        <v>0</v>
      </c>
      <c r="H188" s="5">
        <f t="shared" si="2"/>
        <v>10.389999999999999</v>
      </c>
    </row>
    <row r="189" spans="1:8" x14ac:dyDescent="0.45">
      <c r="A189" s="19">
        <v>45050</v>
      </c>
      <c r="B189" s="1" t="s">
        <v>85</v>
      </c>
      <c r="C189" s="1" t="s">
        <v>201</v>
      </c>
      <c r="D189" s="5">
        <v>24</v>
      </c>
      <c r="E189" s="5">
        <v>-0.3</v>
      </c>
      <c r="F189" s="5">
        <v>-2.64</v>
      </c>
      <c r="G189" s="5">
        <v>0</v>
      </c>
      <c r="H189" s="5">
        <f t="shared" si="2"/>
        <v>21.06</v>
      </c>
    </row>
    <row r="190" spans="1:8" x14ac:dyDescent="0.45">
      <c r="A190" s="19">
        <v>45052</v>
      </c>
      <c r="B190" s="1" t="s">
        <v>85</v>
      </c>
      <c r="C190" s="1" t="s">
        <v>202</v>
      </c>
      <c r="D190" s="5">
        <v>30</v>
      </c>
      <c r="E190" s="5">
        <v>-0.3</v>
      </c>
      <c r="F190" s="5">
        <v>-3.29</v>
      </c>
      <c r="G190" s="5">
        <v>0</v>
      </c>
      <c r="H190" s="5">
        <f t="shared" si="2"/>
        <v>26.41</v>
      </c>
    </row>
    <row r="191" spans="1:8" x14ac:dyDescent="0.45">
      <c r="A191" s="19">
        <v>45055</v>
      </c>
      <c r="B191" s="1" t="s">
        <v>85</v>
      </c>
      <c r="C191" s="1" t="s">
        <v>203</v>
      </c>
      <c r="D191" s="5">
        <v>33</v>
      </c>
      <c r="E191" s="5">
        <v>-0.3</v>
      </c>
      <c r="F191" s="5">
        <v>-3.63</v>
      </c>
      <c r="G191" s="5">
        <v>0</v>
      </c>
      <c r="H191" s="5">
        <f t="shared" si="2"/>
        <v>29.070000000000004</v>
      </c>
    </row>
    <row r="192" spans="1:8" x14ac:dyDescent="0.45">
      <c r="A192" s="19">
        <v>45056</v>
      </c>
      <c r="B192" s="1" t="s">
        <v>85</v>
      </c>
      <c r="C192" s="1" t="s">
        <v>204</v>
      </c>
      <c r="D192" s="5">
        <v>26</v>
      </c>
      <c r="E192" s="5">
        <v>-0.3</v>
      </c>
      <c r="F192" s="5">
        <v>-2.83</v>
      </c>
      <c r="G192" s="5">
        <v>0</v>
      </c>
      <c r="H192" s="5">
        <f t="shared" si="2"/>
        <v>22.869999999999997</v>
      </c>
    </row>
    <row r="193" spans="1:8" x14ac:dyDescent="0.45">
      <c r="A193" s="19">
        <v>45057</v>
      </c>
      <c r="B193" s="1" t="s">
        <v>85</v>
      </c>
      <c r="C193" s="1" t="s">
        <v>205</v>
      </c>
      <c r="D193" s="5">
        <v>29</v>
      </c>
      <c r="E193" s="5">
        <v>-0.3</v>
      </c>
      <c r="F193" s="5">
        <v>-3.21</v>
      </c>
      <c r="G193" s="5">
        <v>0</v>
      </c>
      <c r="H193" s="5">
        <f t="shared" si="2"/>
        <v>25.49</v>
      </c>
    </row>
    <row r="194" spans="1:8" x14ac:dyDescent="0.45">
      <c r="A194" s="19">
        <v>45057</v>
      </c>
      <c r="B194" s="1" t="s">
        <v>85</v>
      </c>
      <c r="C194" s="1" t="s">
        <v>206</v>
      </c>
      <c r="D194" s="5">
        <v>39</v>
      </c>
      <c r="E194" s="5">
        <v>-0.3</v>
      </c>
      <c r="F194" s="5">
        <v>-4.24</v>
      </c>
      <c r="G194" s="5">
        <v>0</v>
      </c>
      <c r="H194" s="5">
        <f t="shared" si="2"/>
        <v>34.46</v>
      </c>
    </row>
    <row r="195" spans="1:8" x14ac:dyDescent="0.45">
      <c r="A195" s="19">
        <v>45060</v>
      </c>
      <c r="B195" s="1" t="s">
        <v>85</v>
      </c>
      <c r="C195" s="1" t="s">
        <v>207</v>
      </c>
      <c r="D195" s="5">
        <v>49</v>
      </c>
      <c r="E195" s="5">
        <v>-0.3</v>
      </c>
      <c r="F195" s="5">
        <v>-5.31</v>
      </c>
      <c r="G195" s="5">
        <v>0</v>
      </c>
      <c r="H195" s="5">
        <f t="shared" ref="H195:H258" si="3">D195+E195+F195</f>
        <v>43.39</v>
      </c>
    </row>
    <row r="196" spans="1:8" x14ac:dyDescent="0.45">
      <c r="A196" s="19">
        <v>45062</v>
      </c>
      <c r="B196" s="1" t="s">
        <v>85</v>
      </c>
      <c r="C196" s="1" t="s">
        <v>44</v>
      </c>
      <c r="D196" s="5">
        <v>59</v>
      </c>
      <c r="E196" s="5">
        <v>-0.3</v>
      </c>
      <c r="F196" s="5">
        <v>-6.52</v>
      </c>
      <c r="G196" s="5">
        <v>0</v>
      </c>
      <c r="H196" s="5">
        <f t="shared" si="3"/>
        <v>52.180000000000007</v>
      </c>
    </row>
    <row r="197" spans="1:8" x14ac:dyDescent="0.45">
      <c r="A197" s="19">
        <v>45065</v>
      </c>
      <c r="B197" s="1" t="s">
        <v>85</v>
      </c>
      <c r="C197" s="1" t="s">
        <v>208</v>
      </c>
      <c r="D197" s="5">
        <v>19.989999999999998</v>
      </c>
      <c r="E197" s="5">
        <v>-0.3</v>
      </c>
      <c r="F197" s="5">
        <v>-2.16</v>
      </c>
      <c r="G197" s="5">
        <v>0</v>
      </c>
      <c r="H197" s="5">
        <f t="shared" si="3"/>
        <v>17.529999999999998</v>
      </c>
    </row>
    <row r="198" spans="1:8" x14ac:dyDescent="0.45">
      <c r="A198" s="19">
        <v>45065</v>
      </c>
      <c r="B198" s="1" t="s">
        <v>85</v>
      </c>
      <c r="C198" s="1" t="s">
        <v>39</v>
      </c>
      <c r="D198" s="5">
        <v>35</v>
      </c>
      <c r="E198" s="5">
        <v>-0.3</v>
      </c>
      <c r="F198" s="5">
        <v>-3.83</v>
      </c>
      <c r="G198" s="5">
        <v>0</v>
      </c>
      <c r="H198" s="5">
        <f t="shared" si="3"/>
        <v>30.870000000000005</v>
      </c>
    </row>
    <row r="199" spans="1:8" x14ac:dyDescent="0.45">
      <c r="A199" s="19">
        <v>45065</v>
      </c>
      <c r="B199" s="1" t="s">
        <v>85</v>
      </c>
      <c r="C199" s="1" t="s">
        <v>209</v>
      </c>
      <c r="D199" s="5">
        <v>33</v>
      </c>
      <c r="E199" s="5">
        <v>-0.3</v>
      </c>
      <c r="F199" s="5">
        <v>-3.37</v>
      </c>
      <c r="G199" s="5">
        <v>0</v>
      </c>
      <c r="H199" s="5">
        <f t="shared" si="3"/>
        <v>29.330000000000002</v>
      </c>
    </row>
    <row r="200" spans="1:8" x14ac:dyDescent="0.45">
      <c r="A200" s="19">
        <v>45065</v>
      </c>
      <c r="B200" s="1" t="s">
        <v>85</v>
      </c>
      <c r="C200" s="1" t="s">
        <v>210</v>
      </c>
      <c r="D200" s="5">
        <v>25</v>
      </c>
      <c r="E200" s="5">
        <v>-0.3</v>
      </c>
      <c r="F200" s="5">
        <v>-2.73</v>
      </c>
      <c r="G200" s="5">
        <v>0</v>
      </c>
      <c r="H200" s="5">
        <f t="shared" si="3"/>
        <v>21.97</v>
      </c>
    </row>
    <row r="201" spans="1:8" x14ac:dyDescent="0.45">
      <c r="A201" s="19">
        <v>45066</v>
      </c>
      <c r="B201" s="1" t="s">
        <v>85</v>
      </c>
      <c r="C201" s="1" t="s">
        <v>211</v>
      </c>
      <c r="D201" s="5">
        <v>15</v>
      </c>
      <c r="E201" s="5">
        <v>-0.3</v>
      </c>
      <c r="F201" s="5">
        <v>-1.65</v>
      </c>
      <c r="G201" s="5">
        <v>0</v>
      </c>
      <c r="H201" s="5">
        <f t="shared" si="3"/>
        <v>13.049999999999999</v>
      </c>
    </row>
    <row r="202" spans="1:8" x14ac:dyDescent="0.45">
      <c r="A202" s="19">
        <v>45068</v>
      </c>
      <c r="B202" s="1" t="s">
        <v>85</v>
      </c>
      <c r="C202" s="1" t="s">
        <v>212</v>
      </c>
      <c r="D202" s="5">
        <v>20</v>
      </c>
      <c r="E202" s="5">
        <v>-0.3</v>
      </c>
      <c r="F202" s="5">
        <v>-2.19</v>
      </c>
      <c r="G202" s="5">
        <v>0</v>
      </c>
      <c r="H202" s="5">
        <f t="shared" si="3"/>
        <v>17.509999999999998</v>
      </c>
    </row>
    <row r="203" spans="1:8" x14ac:dyDescent="0.45">
      <c r="A203" s="19">
        <v>45069</v>
      </c>
      <c r="B203" s="1" t="s">
        <v>85</v>
      </c>
      <c r="C203" s="1" t="s">
        <v>37</v>
      </c>
      <c r="D203" s="5">
        <v>39</v>
      </c>
      <c r="E203" s="5">
        <v>-0.3</v>
      </c>
      <c r="F203" s="5">
        <v>-4.22</v>
      </c>
      <c r="G203" s="5">
        <v>0</v>
      </c>
      <c r="H203" s="5">
        <f t="shared" si="3"/>
        <v>34.480000000000004</v>
      </c>
    </row>
    <row r="204" spans="1:8" x14ac:dyDescent="0.45">
      <c r="A204" s="19">
        <v>45070</v>
      </c>
      <c r="B204" s="1" t="s">
        <v>85</v>
      </c>
      <c r="C204" s="1" t="s">
        <v>213</v>
      </c>
      <c r="D204" s="5">
        <v>35</v>
      </c>
      <c r="E204" s="5">
        <v>-0.3</v>
      </c>
      <c r="F204" s="5">
        <v>-3.83</v>
      </c>
      <c r="G204" s="5">
        <v>0</v>
      </c>
      <c r="H204" s="5">
        <f t="shared" si="3"/>
        <v>30.870000000000005</v>
      </c>
    </row>
    <row r="205" spans="1:8" x14ac:dyDescent="0.45">
      <c r="A205" s="19">
        <v>45070</v>
      </c>
      <c r="B205" s="1" t="s">
        <v>85</v>
      </c>
      <c r="C205" s="1" t="s">
        <v>214</v>
      </c>
      <c r="D205" s="5">
        <v>84</v>
      </c>
      <c r="E205" s="5">
        <v>-0.3</v>
      </c>
      <c r="F205" s="5">
        <v>-8.58</v>
      </c>
      <c r="G205" s="5">
        <v>0</v>
      </c>
      <c r="H205" s="5">
        <f t="shared" si="3"/>
        <v>75.12</v>
      </c>
    </row>
    <row r="206" spans="1:8" x14ac:dyDescent="0.45">
      <c r="A206" s="19">
        <v>45071</v>
      </c>
      <c r="B206" s="1" t="s">
        <v>85</v>
      </c>
      <c r="C206" s="1" t="s">
        <v>215</v>
      </c>
      <c r="D206" s="5">
        <v>85</v>
      </c>
      <c r="E206" s="5">
        <v>-0.3</v>
      </c>
      <c r="F206" s="5">
        <v>-9.4</v>
      </c>
      <c r="G206" s="5">
        <v>0</v>
      </c>
      <c r="H206" s="5">
        <f t="shared" si="3"/>
        <v>75.3</v>
      </c>
    </row>
    <row r="207" spans="1:8" x14ac:dyDescent="0.45">
      <c r="A207" s="19">
        <v>45072</v>
      </c>
      <c r="B207" s="1" t="s">
        <v>85</v>
      </c>
      <c r="C207" s="1" t="s">
        <v>143</v>
      </c>
      <c r="D207" s="5">
        <v>50</v>
      </c>
      <c r="E207" s="5">
        <v>-0.3</v>
      </c>
      <c r="F207" s="5">
        <v>-5.49</v>
      </c>
      <c r="G207" s="5">
        <v>0</v>
      </c>
      <c r="H207" s="5">
        <f t="shared" si="3"/>
        <v>44.21</v>
      </c>
    </row>
    <row r="208" spans="1:8" x14ac:dyDescent="0.45">
      <c r="A208" s="19">
        <v>45073</v>
      </c>
      <c r="B208" s="1" t="s">
        <v>85</v>
      </c>
      <c r="C208" s="1" t="s">
        <v>216</v>
      </c>
      <c r="D208" s="5">
        <v>19</v>
      </c>
      <c r="E208" s="5">
        <v>-0.3</v>
      </c>
      <c r="F208" s="5">
        <v>-2.0499999999999998</v>
      </c>
      <c r="G208" s="5">
        <v>0</v>
      </c>
      <c r="H208" s="5">
        <f t="shared" si="3"/>
        <v>16.649999999999999</v>
      </c>
    </row>
    <row r="209" spans="1:8" x14ac:dyDescent="0.45">
      <c r="A209" s="19">
        <v>45075</v>
      </c>
      <c r="B209" s="1" t="s">
        <v>85</v>
      </c>
      <c r="C209" s="1" t="s">
        <v>217</v>
      </c>
      <c r="D209" s="5">
        <v>59</v>
      </c>
      <c r="E209" s="5">
        <v>-0.3</v>
      </c>
      <c r="F209" s="5">
        <v>-6.39</v>
      </c>
      <c r="G209" s="5">
        <v>0</v>
      </c>
      <c r="H209" s="5">
        <f t="shared" si="3"/>
        <v>52.31</v>
      </c>
    </row>
    <row r="210" spans="1:8" x14ac:dyDescent="0.45">
      <c r="A210" s="19">
        <v>45075</v>
      </c>
      <c r="B210" s="1" t="s">
        <v>91</v>
      </c>
      <c r="C210" s="1" t="s">
        <v>40</v>
      </c>
      <c r="D210" s="5">
        <v>0</v>
      </c>
      <c r="E210" s="5">
        <v>0</v>
      </c>
      <c r="F210" s="5">
        <v>0</v>
      </c>
      <c r="G210" s="5">
        <v>-61.23</v>
      </c>
      <c r="H210" s="5">
        <f t="shared" si="3"/>
        <v>0</v>
      </c>
    </row>
    <row r="211" spans="1:8" x14ac:dyDescent="0.45">
      <c r="A211" s="19">
        <v>45075</v>
      </c>
      <c r="B211" s="1" t="s">
        <v>85</v>
      </c>
      <c r="C211" s="1" t="s">
        <v>40</v>
      </c>
      <c r="D211" s="5">
        <v>69</v>
      </c>
      <c r="E211" s="5">
        <v>-0.3</v>
      </c>
      <c r="F211" s="5">
        <v>-7.47</v>
      </c>
      <c r="G211" s="5">
        <v>0</v>
      </c>
      <c r="H211" s="5">
        <f t="shared" si="3"/>
        <v>61.230000000000004</v>
      </c>
    </row>
    <row r="212" spans="1:8" x14ac:dyDescent="0.45">
      <c r="A212" s="19">
        <v>45076</v>
      </c>
      <c r="B212" s="1" t="s">
        <v>85</v>
      </c>
      <c r="C212" s="1" t="s">
        <v>218</v>
      </c>
      <c r="D212" s="5">
        <v>25</v>
      </c>
      <c r="E212" s="5">
        <v>-0.3</v>
      </c>
      <c r="F212" s="5">
        <v>-2.79</v>
      </c>
      <c r="G212" s="5">
        <v>0</v>
      </c>
      <c r="H212" s="5">
        <f t="shared" si="3"/>
        <v>21.91</v>
      </c>
    </row>
    <row r="213" spans="1:8" x14ac:dyDescent="0.45">
      <c r="A213" s="19">
        <v>45077</v>
      </c>
      <c r="B213" s="1" t="s">
        <v>85</v>
      </c>
      <c r="C213" s="1" t="s">
        <v>219</v>
      </c>
      <c r="D213" s="5">
        <v>70</v>
      </c>
      <c r="E213" s="5">
        <v>-0.3</v>
      </c>
      <c r="F213" s="5">
        <v>-7.71</v>
      </c>
      <c r="G213" s="5">
        <v>0</v>
      </c>
      <c r="H213" s="5">
        <f t="shared" si="3"/>
        <v>61.99</v>
      </c>
    </row>
    <row r="214" spans="1:8" x14ac:dyDescent="0.45">
      <c r="A214" s="19">
        <v>45078</v>
      </c>
      <c r="B214" s="1" t="s">
        <v>85</v>
      </c>
      <c r="C214" s="1" t="s">
        <v>220</v>
      </c>
      <c r="D214" s="5">
        <v>20</v>
      </c>
      <c r="E214" s="5">
        <v>-0.3</v>
      </c>
      <c r="F214" s="5">
        <v>-2.15</v>
      </c>
      <c r="G214" s="5">
        <v>0</v>
      </c>
      <c r="H214" s="5">
        <f t="shared" si="3"/>
        <v>17.55</v>
      </c>
    </row>
    <row r="215" spans="1:8" x14ac:dyDescent="0.45">
      <c r="A215" s="19">
        <v>45078</v>
      </c>
      <c r="B215" s="1" t="s">
        <v>85</v>
      </c>
      <c r="C215" s="1" t="s">
        <v>221</v>
      </c>
      <c r="D215" s="5">
        <v>22</v>
      </c>
      <c r="E215" s="5">
        <v>-0.3</v>
      </c>
      <c r="F215" s="5">
        <v>-2.4</v>
      </c>
      <c r="G215" s="5">
        <v>0</v>
      </c>
      <c r="H215" s="5">
        <f t="shared" si="3"/>
        <v>19.3</v>
      </c>
    </row>
    <row r="216" spans="1:8" x14ac:dyDescent="0.45">
      <c r="A216" s="19">
        <v>45078</v>
      </c>
      <c r="B216" s="1" t="s">
        <v>85</v>
      </c>
      <c r="C216" s="1" t="s">
        <v>222</v>
      </c>
      <c r="D216" s="5">
        <v>99</v>
      </c>
      <c r="E216" s="5">
        <v>-0.3</v>
      </c>
      <c r="F216" s="5">
        <v>-10.72</v>
      </c>
      <c r="G216" s="5">
        <v>0</v>
      </c>
      <c r="H216" s="5">
        <f t="shared" si="3"/>
        <v>87.98</v>
      </c>
    </row>
    <row r="217" spans="1:8" x14ac:dyDescent="0.45">
      <c r="A217" s="19">
        <v>45078</v>
      </c>
      <c r="B217" s="1" t="s">
        <v>85</v>
      </c>
      <c r="C217" s="1" t="s">
        <v>223</v>
      </c>
      <c r="D217" s="5">
        <v>69</v>
      </c>
      <c r="E217" s="5">
        <v>0</v>
      </c>
      <c r="F217" s="5">
        <v>-7.47</v>
      </c>
      <c r="G217" s="5">
        <v>0</v>
      </c>
      <c r="H217" s="5">
        <f t="shared" si="3"/>
        <v>61.53</v>
      </c>
    </row>
    <row r="218" spans="1:8" x14ac:dyDescent="0.45">
      <c r="A218" s="19">
        <v>45078</v>
      </c>
      <c r="B218" s="1" t="s">
        <v>85</v>
      </c>
      <c r="C218" s="1" t="s">
        <v>109</v>
      </c>
      <c r="D218" s="5">
        <v>69</v>
      </c>
      <c r="E218" s="5">
        <v>-0.3</v>
      </c>
      <c r="F218" s="5">
        <v>-7.47</v>
      </c>
      <c r="G218" s="5">
        <v>0</v>
      </c>
      <c r="H218" s="5">
        <f t="shared" si="3"/>
        <v>61.230000000000004</v>
      </c>
    </row>
    <row r="219" spans="1:8" x14ac:dyDescent="0.45">
      <c r="A219" s="19">
        <v>45079</v>
      </c>
      <c r="B219" s="1" t="s">
        <v>85</v>
      </c>
      <c r="C219" s="1" t="s">
        <v>224</v>
      </c>
      <c r="D219" s="5">
        <v>69</v>
      </c>
      <c r="E219" s="5">
        <v>-0.3</v>
      </c>
      <c r="F219" s="5">
        <v>-7.05</v>
      </c>
      <c r="G219" s="5">
        <v>0</v>
      </c>
      <c r="H219" s="5">
        <f t="shared" si="3"/>
        <v>61.650000000000006</v>
      </c>
    </row>
    <row r="220" spans="1:8" x14ac:dyDescent="0.45">
      <c r="A220" s="19">
        <v>45080</v>
      </c>
      <c r="B220" s="1" t="s">
        <v>85</v>
      </c>
      <c r="C220" s="1" t="s">
        <v>225</v>
      </c>
      <c r="D220" s="5">
        <v>59</v>
      </c>
      <c r="E220" s="5">
        <v>-0.3</v>
      </c>
      <c r="F220" s="5">
        <v>-6.39</v>
      </c>
      <c r="G220" s="5">
        <v>0</v>
      </c>
      <c r="H220" s="5">
        <f t="shared" si="3"/>
        <v>52.31</v>
      </c>
    </row>
    <row r="221" spans="1:8" x14ac:dyDescent="0.45">
      <c r="A221" s="19">
        <v>45080</v>
      </c>
      <c r="B221" s="1" t="s">
        <v>85</v>
      </c>
      <c r="C221" s="1" t="s">
        <v>28</v>
      </c>
      <c r="D221" s="5">
        <v>49</v>
      </c>
      <c r="E221" s="5">
        <v>-0.3</v>
      </c>
      <c r="F221" s="5">
        <v>-5.32</v>
      </c>
      <c r="G221" s="5">
        <v>0</v>
      </c>
      <c r="H221" s="5">
        <f t="shared" si="3"/>
        <v>43.38</v>
      </c>
    </row>
    <row r="222" spans="1:8" x14ac:dyDescent="0.45">
      <c r="A222" s="19">
        <v>45081</v>
      </c>
      <c r="B222" s="1" t="s">
        <v>85</v>
      </c>
      <c r="C222" s="1" t="s">
        <v>226</v>
      </c>
      <c r="D222" s="5">
        <v>84</v>
      </c>
      <c r="E222" s="5">
        <v>-0.3</v>
      </c>
      <c r="F222" s="5">
        <v>-9.06</v>
      </c>
      <c r="G222" s="5">
        <v>0</v>
      </c>
      <c r="H222" s="5">
        <f t="shared" si="3"/>
        <v>74.64</v>
      </c>
    </row>
    <row r="223" spans="1:8" x14ac:dyDescent="0.45">
      <c r="A223" s="19">
        <v>45081</v>
      </c>
      <c r="B223" s="1" t="s">
        <v>85</v>
      </c>
      <c r="C223" s="1" t="s">
        <v>48</v>
      </c>
      <c r="D223" s="5">
        <v>49</v>
      </c>
      <c r="E223" s="5">
        <v>-0.3</v>
      </c>
      <c r="F223" s="5">
        <v>-5.01</v>
      </c>
      <c r="G223" s="5">
        <v>0</v>
      </c>
      <c r="H223" s="5">
        <f t="shared" si="3"/>
        <v>43.690000000000005</v>
      </c>
    </row>
    <row r="224" spans="1:8" x14ac:dyDescent="0.45">
      <c r="A224" s="19">
        <v>45081</v>
      </c>
      <c r="B224" s="1" t="s">
        <v>85</v>
      </c>
      <c r="C224" s="1" t="s">
        <v>227</v>
      </c>
      <c r="D224" s="5">
        <v>45</v>
      </c>
      <c r="E224" s="5">
        <v>-0.3</v>
      </c>
      <c r="F224" s="5">
        <v>-4.92</v>
      </c>
      <c r="G224" s="5">
        <v>0</v>
      </c>
      <c r="H224" s="5">
        <f t="shared" si="3"/>
        <v>39.78</v>
      </c>
    </row>
    <row r="225" spans="1:8" x14ac:dyDescent="0.45">
      <c r="A225" s="19">
        <v>45082</v>
      </c>
      <c r="B225" s="1" t="s">
        <v>85</v>
      </c>
      <c r="C225" s="1" t="s">
        <v>228</v>
      </c>
      <c r="D225" s="5">
        <v>70</v>
      </c>
      <c r="E225" s="5">
        <v>-0.3</v>
      </c>
      <c r="F225" s="5">
        <v>-7.61</v>
      </c>
      <c r="G225" s="5">
        <v>0</v>
      </c>
      <c r="H225" s="5">
        <f t="shared" si="3"/>
        <v>62.09</v>
      </c>
    </row>
    <row r="226" spans="1:8" x14ac:dyDescent="0.45">
      <c r="A226" s="19">
        <v>45084</v>
      </c>
      <c r="B226" s="1" t="s">
        <v>85</v>
      </c>
      <c r="C226" s="1" t="s">
        <v>229</v>
      </c>
      <c r="D226" s="5">
        <v>120</v>
      </c>
      <c r="E226" s="5">
        <v>-0.3</v>
      </c>
      <c r="F226" s="5">
        <v>-13.18</v>
      </c>
      <c r="G226" s="5">
        <v>0</v>
      </c>
      <c r="H226" s="5">
        <f t="shared" si="3"/>
        <v>106.52000000000001</v>
      </c>
    </row>
    <row r="227" spans="1:8" x14ac:dyDescent="0.45">
      <c r="A227" s="19">
        <v>45085</v>
      </c>
      <c r="B227" s="1" t="s">
        <v>85</v>
      </c>
      <c r="C227" s="1" t="s">
        <v>230</v>
      </c>
      <c r="D227" s="5">
        <v>19</v>
      </c>
      <c r="E227" s="5">
        <v>-0.3</v>
      </c>
      <c r="F227" s="5">
        <v>-2.08</v>
      </c>
      <c r="G227" s="5">
        <v>0</v>
      </c>
      <c r="H227" s="5">
        <f t="shared" si="3"/>
        <v>16.619999999999997</v>
      </c>
    </row>
    <row r="228" spans="1:8" x14ac:dyDescent="0.45">
      <c r="A228" s="19">
        <v>45085</v>
      </c>
      <c r="B228" s="1" t="s">
        <v>85</v>
      </c>
      <c r="C228" s="1" t="s">
        <v>231</v>
      </c>
      <c r="D228" s="5">
        <v>99</v>
      </c>
      <c r="E228" s="5">
        <v>-0.3</v>
      </c>
      <c r="F228" s="5">
        <v>-10.11</v>
      </c>
      <c r="G228" s="5">
        <v>0</v>
      </c>
      <c r="H228" s="5">
        <f t="shared" si="3"/>
        <v>88.59</v>
      </c>
    </row>
    <row r="229" spans="1:8" x14ac:dyDescent="0.45">
      <c r="A229" s="19">
        <v>45085</v>
      </c>
      <c r="B229" s="1" t="s">
        <v>85</v>
      </c>
      <c r="C229" s="1" t="s">
        <v>232</v>
      </c>
      <c r="D229" s="5">
        <v>84</v>
      </c>
      <c r="E229" s="5">
        <v>-0.3</v>
      </c>
      <c r="F229" s="5">
        <v>-9.2899999999999991</v>
      </c>
      <c r="G229" s="5">
        <v>0</v>
      </c>
      <c r="H229" s="5">
        <f t="shared" si="3"/>
        <v>74.41</v>
      </c>
    </row>
    <row r="230" spans="1:8" x14ac:dyDescent="0.45">
      <c r="A230" s="19">
        <v>45085</v>
      </c>
      <c r="B230" s="1" t="s">
        <v>85</v>
      </c>
      <c r="C230" s="1" t="s">
        <v>233</v>
      </c>
      <c r="D230" s="5">
        <v>149</v>
      </c>
      <c r="E230" s="5">
        <v>-0.3</v>
      </c>
      <c r="F230" s="5">
        <v>-16.13</v>
      </c>
      <c r="G230" s="5">
        <v>0</v>
      </c>
      <c r="H230" s="5">
        <f t="shared" si="3"/>
        <v>132.57</v>
      </c>
    </row>
    <row r="231" spans="1:8" x14ac:dyDescent="0.45">
      <c r="A231" s="19">
        <v>45085</v>
      </c>
      <c r="B231" s="1" t="s">
        <v>91</v>
      </c>
      <c r="C231" s="1" t="s">
        <v>234</v>
      </c>
      <c r="D231" s="5">
        <v>0</v>
      </c>
      <c r="E231" s="5">
        <v>0</v>
      </c>
      <c r="F231" s="5">
        <v>0</v>
      </c>
      <c r="G231" s="5">
        <v>-34.479999999999997</v>
      </c>
      <c r="H231" s="5">
        <f t="shared" si="3"/>
        <v>0</v>
      </c>
    </row>
    <row r="232" spans="1:8" x14ac:dyDescent="0.45">
      <c r="A232" s="19">
        <v>45085</v>
      </c>
      <c r="B232" s="1" t="s">
        <v>85</v>
      </c>
      <c r="C232" s="1" t="s">
        <v>234</v>
      </c>
      <c r="D232" s="5">
        <v>39</v>
      </c>
      <c r="E232" s="5">
        <v>-0.3</v>
      </c>
      <c r="F232" s="5">
        <v>-4.22</v>
      </c>
      <c r="G232" s="5">
        <v>0</v>
      </c>
      <c r="H232" s="5">
        <f t="shared" si="3"/>
        <v>34.480000000000004</v>
      </c>
    </row>
    <row r="233" spans="1:8" x14ac:dyDescent="0.45">
      <c r="A233" s="19">
        <v>45086</v>
      </c>
      <c r="B233" s="1" t="s">
        <v>85</v>
      </c>
      <c r="C233" s="1" t="s">
        <v>138</v>
      </c>
      <c r="D233" s="5">
        <v>199</v>
      </c>
      <c r="E233" s="5">
        <v>-0.3</v>
      </c>
      <c r="F233" s="5">
        <v>-22</v>
      </c>
      <c r="G233" s="5">
        <v>0</v>
      </c>
      <c r="H233" s="5">
        <f t="shared" si="3"/>
        <v>176.7</v>
      </c>
    </row>
    <row r="234" spans="1:8" x14ac:dyDescent="0.45">
      <c r="A234" s="19">
        <v>45086</v>
      </c>
      <c r="B234" s="1" t="s">
        <v>85</v>
      </c>
      <c r="C234" s="1" t="s">
        <v>235</v>
      </c>
      <c r="D234" s="5">
        <v>69</v>
      </c>
      <c r="E234" s="5">
        <v>-0.3</v>
      </c>
      <c r="F234" s="5">
        <v>-7.49</v>
      </c>
      <c r="G234" s="5">
        <v>0</v>
      </c>
      <c r="H234" s="5">
        <f t="shared" si="3"/>
        <v>61.21</v>
      </c>
    </row>
    <row r="235" spans="1:8" x14ac:dyDescent="0.45">
      <c r="A235" s="19">
        <v>45086</v>
      </c>
      <c r="B235" s="1" t="s">
        <v>85</v>
      </c>
      <c r="C235" s="1" t="s">
        <v>236</v>
      </c>
      <c r="D235" s="5">
        <v>49</v>
      </c>
      <c r="E235" s="5">
        <v>-0.3</v>
      </c>
      <c r="F235" s="5">
        <v>-5.36</v>
      </c>
      <c r="G235" s="5">
        <v>0</v>
      </c>
      <c r="H235" s="5">
        <f t="shared" si="3"/>
        <v>43.34</v>
      </c>
    </row>
    <row r="236" spans="1:8" x14ac:dyDescent="0.45">
      <c r="A236" s="19">
        <v>45088</v>
      </c>
      <c r="B236" s="1" t="s">
        <v>85</v>
      </c>
      <c r="C236" s="1" t="s">
        <v>237</v>
      </c>
      <c r="D236" s="5">
        <v>99</v>
      </c>
      <c r="E236" s="5">
        <v>-0.3</v>
      </c>
      <c r="F236" s="5">
        <v>-10.82</v>
      </c>
      <c r="G236" s="5">
        <v>0</v>
      </c>
      <c r="H236" s="5">
        <f t="shared" si="3"/>
        <v>87.88</v>
      </c>
    </row>
    <row r="237" spans="1:8" x14ac:dyDescent="0.45">
      <c r="A237" s="19">
        <v>45088</v>
      </c>
      <c r="B237" s="1" t="s">
        <v>85</v>
      </c>
      <c r="C237" s="1" t="s">
        <v>238</v>
      </c>
      <c r="D237" s="5">
        <v>29</v>
      </c>
      <c r="E237" s="5">
        <v>-0.3</v>
      </c>
      <c r="F237" s="5">
        <v>-3.18</v>
      </c>
      <c r="G237" s="5">
        <v>0</v>
      </c>
      <c r="H237" s="5">
        <f t="shared" si="3"/>
        <v>25.52</v>
      </c>
    </row>
    <row r="238" spans="1:8" x14ac:dyDescent="0.45">
      <c r="A238" s="19">
        <v>45090</v>
      </c>
      <c r="B238" s="1" t="s">
        <v>85</v>
      </c>
      <c r="C238" s="1" t="s">
        <v>143</v>
      </c>
      <c r="D238" s="5">
        <v>28</v>
      </c>
      <c r="E238" s="5">
        <v>-0.3</v>
      </c>
      <c r="F238" s="5">
        <v>-3.07</v>
      </c>
      <c r="G238" s="5">
        <v>0</v>
      </c>
      <c r="H238" s="5">
        <f t="shared" si="3"/>
        <v>24.63</v>
      </c>
    </row>
    <row r="239" spans="1:8" x14ac:dyDescent="0.45">
      <c r="A239" s="19">
        <v>45090</v>
      </c>
      <c r="B239" s="1" t="s">
        <v>85</v>
      </c>
      <c r="C239" s="1" t="s">
        <v>239</v>
      </c>
      <c r="D239" s="5">
        <v>49</v>
      </c>
      <c r="E239" s="5">
        <v>-0.3</v>
      </c>
      <c r="F239" s="5">
        <v>-5.49</v>
      </c>
      <c r="G239" s="5">
        <v>0</v>
      </c>
      <c r="H239" s="5">
        <f t="shared" si="3"/>
        <v>43.21</v>
      </c>
    </row>
    <row r="240" spans="1:8" x14ac:dyDescent="0.45">
      <c r="A240" s="19">
        <v>45090</v>
      </c>
      <c r="B240" s="1" t="s">
        <v>85</v>
      </c>
      <c r="C240" s="1" t="s">
        <v>240</v>
      </c>
      <c r="D240" s="5">
        <v>15</v>
      </c>
      <c r="E240" s="5">
        <v>-0.3</v>
      </c>
      <c r="F240" s="5">
        <v>-1.65</v>
      </c>
      <c r="G240" s="5">
        <v>0</v>
      </c>
      <c r="H240" s="5">
        <f t="shared" si="3"/>
        <v>13.049999999999999</v>
      </c>
    </row>
    <row r="241" spans="1:8" x14ac:dyDescent="0.45">
      <c r="A241" s="19">
        <v>45090</v>
      </c>
      <c r="B241" s="1" t="s">
        <v>85</v>
      </c>
      <c r="C241" s="1" t="s">
        <v>241</v>
      </c>
      <c r="D241" s="5">
        <v>25</v>
      </c>
      <c r="E241" s="5">
        <v>-0.3</v>
      </c>
      <c r="F241" s="5">
        <v>-2.74</v>
      </c>
      <c r="G241" s="5">
        <v>0</v>
      </c>
      <c r="H241" s="5">
        <f t="shared" si="3"/>
        <v>21.96</v>
      </c>
    </row>
    <row r="242" spans="1:8" x14ac:dyDescent="0.45">
      <c r="A242" s="19">
        <v>45091</v>
      </c>
      <c r="B242" s="1" t="s">
        <v>85</v>
      </c>
      <c r="C242" s="1" t="s">
        <v>242</v>
      </c>
      <c r="D242" s="5">
        <v>100</v>
      </c>
      <c r="E242" s="5">
        <v>-0.3</v>
      </c>
      <c r="F242" s="5">
        <v>-10.73</v>
      </c>
      <c r="G242" s="5">
        <v>0</v>
      </c>
      <c r="H242" s="5">
        <f t="shared" si="3"/>
        <v>88.97</v>
      </c>
    </row>
    <row r="243" spans="1:8" x14ac:dyDescent="0.45">
      <c r="A243" s="19">
        <v>45091</v>
      </c>
      <c r="B243" s="1" t="s">
        <v>85</v>
      </c>
      <c r="C243" s="1" t="s">
        <v>243</v>
      </c>
      <c r="D243" s="5">
        <v>19</v>
      </c>
      <c r="E243" s="5">
        <v>-0.3</v>
      </c>
      <c r="F243" s="5">
        <v>-2.0699999999999998</v>
      </c>
      <c r="G243" s="5">
        <v>0</v>
      </c>
      <c r="H243" s="5">
        <f t="shared" si="3"/>
        <v>16.63</v>
      </c>
    </row>
    <row r="244" spans="1:8" x14ac:dyDescent="0.45">
      <c r="A244" s="19">
        <v>45091</v>
      </c>
      <c r="B244" s="1" t="s">
        <v>85</v>
      </c>
      <c r="C244" s="1" t="s">
        <v>244</v>
      </c>
      <c r="D244" s="5">
        <v>39</v>
      </c>
      <c r="E244" s="5">
        <v>-0.3</v>
      </c>
      <c r="F244" s="5">
        <v>-4.22</v>
      </c>
      <c r="G244" s="5">
        <v>0</v>
      </c>
      <c r="H244" s="5">
        <f t="shared" si="3"/>
        <v>34.480000000000004</v>
      </c>
    </row>
    <row r="245" spans="1:8" x14ac:dyDescent="0.45">
      <c r="A245" s="19">
        <v>45091</v>
      </c>
      <c r="B245" s="1" t="s">
        <v>85</v>
      </c>
      <c r="C245" s="1" t="s">
        <v>245</v>
      </c>
      <c r="D245" s="5">
        <v>69</v>
      </c>
      <c r="E245" s="5">
        <v>-0.3</v>
      </c>
      <c r="F245" s="5">
        <v>-7.7</v>
      </c>
      <c r="G245" s="5">
        <v>0</v>
      </c>
      <c r="H245" s="5">
        <f t="shared" si="3"/>
        <v>61</v>
      </c>
    </row>
    <row r="246" spans="1:8" x14ac:dyDescent="0.45">
      <c r="A246" s="19">
        <v>45092</v>
      </c>
      <c r="B246" s="1" t="s">
        <v>85</v>
      </c>
      <c r="C246" s="1" t="s">
        <v>246</v>
      </c>
      <c r="D246" s="5">
        <v>19</v>
      </c>
      <c r="E246" s="5">
        <v>-0.3</v>
      </c>
      <c r="F246" s="5">
        <v>-2.06</v>
      </c>
      <c r="G246" s="5">
        <v>0</v>
      </c>
      <c r="H246" s="5">
        <f t="shared" si="3"/>
        <v>16.64</v>
      </c>
    </row>
    <row r="247" spans="1:8" x14ac:dyDescent="0.45">
      <c r="A247" s="19">
        <v>45092</v>
      </c>
      <c r="B247" s="1" t="s">
        <v>85</v>
      </c>
      <c r="C247" s="1" t="s">
        <v>247</v>
      </c>
      <c r="D247" s="5">
        <v>75</v>
      </c>
      <c r="E247" s="5">
        <v>-0.3</v>
      </c>
      <c r="F247" s="5">
        <v>-8.1999999999999993</v>
      </c>
      <c r="G247" s="5">
        <v>0</v>
      </c>
      <c r="H247" s="5">
        <f t="shared" si="3"/>
        <v>66.5</v>
      </c>
    </row>
    <row r="248" spans="1:8" x14ac:dyDescent="0.45">
      <c r="A248" s="19">
        <v>45093</v>
      </c>
      <c r="B248" s="1" t="s">
        <v>85</v>
      </c>
      <c r="C248" s="1" t="s">
        <v>248</v>
      </c>
      <c r="D248" s="5">
        <v>15</v>
      </c>
      <c r="E248" s="5">
        <v>-0.3</v>
      </c>
      <c r="F248" s="5">
        <v>-1.65</v>
      </c>
      <c r="G248" s="5">
        <v>0</v>
      </c>
      <c r="H248" s="5">
        <f t="shared" si="3"/>
        <v>13.049999999999999</v>
      </c>
    </row>
    <row r="249" spans="1:8" x14ac:dyDescent="0.45">
      <c r="A249" s="19">
        <v>45093</v>
      </c>
      <c r="B249" s="1" t="s">
        <v>85</v>
      </c>
      <c r="C249" s="1" t="s">
        <v>249</v>
      </c>
      <c r="D249" s="5">
        <v>12</v>
      </c>
      <c r="E249" s="5">
        <v>-0.3</v>
      </c>
      <c r="F249" s="5">
        <v>-1.32</v>
      </c>
      <c r="G249" s="5">
        <v>0</v>
      </c>
      <c r="H249" s="5">
        <f t="shared" si="3"/>
        <v>10.379999999999999</v>
      </c>
    </row>
    <row r="250" spans="1:8" x14ac:dyDescent="0.45">
      <c r="A250" s="19">
        <v>45094</v>
      </c>
      <c r="B250" s="1" t="s">
        <v>85</v>
      </c>
      <c r="C250" s="1" t="s">
        <v>250</v>
      </c>
      <c r="D250" s="5">
        <v>29</v>
      </c>
      <c r="E250" s="5">
        <v>-0.3</v>
      </c>
      <c r="F250" s="5">
        <v>-3.13</v>
      </c>
      <c r="G250" s="5">
        <v>0</v>
      </c>
      <c r="H250" s="5">
        <f t="shared" si="3"/>
        <v>25.57</v>
      </c>
    </row>
    <row r="251" spans="1:8" x14ac:dyDescent="0.45">
      <c r="A251" s="19">
        <v>45094</v>
      </c>
      <c r="B251" s="1" t="s">
        <v>85</v>
      </c>
      <c r="C251" s="1" t="s">
        <v>251</v>
      </c>
      <c r="D251" s="5">
        <v>59</v>
      </c>
      <c r="E251" s="5">
        <v>-0.3</v>
      </c>
      <c r="F251" s="5">
        <v>-6.39</v>
      </c>
      <c r="G251" s="5">
        <v>0</v>
      </c>
      <c r="H251" s="5">
        <f t="shared" si="3"/>
        <v>52.31</v>
      </c>
    </row>
    <row r="252" spans="1:8" x14ac:dyDescent="0.45">
      <c r="A252" s="19">
        <v>45095</v>
      </c>
      <c r="B252" s="1" t="s">
        <v>85</v>
      </c>
      <c r="C252" s="1" t="s">
        <v>252</v>
      </c>
      <c r="D252" s="5">
        <v>29</v>
      </c>
      <c r="E252" s="5">
        <v>-0.3</v>
      </c>
      <c r="F252" s="5">
        <v>-3.25</v>
      </c>
      <c r="G252" s="5">
        <v>0</v>
      </c>
      <c r="H252" s="5">
        <f t="shared" si="3"/>
        <v>25.45</v>
      </c>
    </row>
    <row r="253" spans="1:8" x14ac:dyDescent="0.45">
      <c r="A253" s="19">
        <v>45095</v>
      </c>
      <c r="B253" s="1" t="s">
        <v>85</v>
      </c>
      <c r="C253" s="1" t="s">
        <v>253</v>
      </c>
      <c r="D253" s="5">
        <v>20</v>
      </c>
      <c r="E253" s="5">
        <v>-0.3</v>
      </c>
      <c r="F253" s="5">
        <v>-2.2200000000000002</v>
      </c>
      <c r="G253" s="5">
        <v>0</v>
      </c>
      <c r="H253" s="5">
        <f t="shared" si="3"/>
        <v>17.48</v>
      </c>
    </row>
    <row r="254" spans="1:8" x14ac:dyDescent="0.45">
      <c r="A254" s="19">
        <v>45096</v>
      </c>
      <c r="B254" s="1" t="s">
        <v>85</v>
      </c>
      <c r="C254" s="1" t="s">
        <v>254</v>
      </c>
      <c r="D254" s="5">
        <v>149</v>
      </c>
      <c r="E254" s="5">
        <v>-0.3</v>
      </c>
      <c r="F254" s="5">
        <v>-16.55</v>
      </c>
      <c r="G254" s="5">
        <v>0</v>
      </c>
      <c r="H254" s="5">
        <f t="shared" si="3"/>
        <v>132.14999999999998</v>
      </c>
    </row>
    <row r="255" spans="1:8" x14ac:dyDescent="0.45">
      <c r="A255" s="19">
        <v>45096</v>
      </c>
      <c r="B255" s="1" t="s">
        <v>85</v>
      </c>
      <c r="C255" s="1" t="s">
        <v>138</v>
      </c>
      <c r="D255" s="5">
        <v>100</v>
      </c>
      <c r="E255" s="5">
        <v>-0.3</v>
      </c>
      <c r="F255" s="5">
        <v>-11.21</v>
      </c>
      <c r="G255" s="5">
        <v>0</v>
      </c>
      <c r="H255" s="5">
        <f t="shared" si="3"/>
        <v>88.490000000000009</v>
      </c>
    </row>
    <row r="256" spans="1:8" x14ac:dyDescent="0.45">
      <c r="A256" s="19">
        <v>45097</v>
      </c>
      <c r="B256" s="1" t="s">
        <v>85</v>
      </c>
      <c r="C256" s="1" t="s">
        <v>255</v>
      </c>
      <c r="D256" s="5">
        <v>39</v>
      </c>
      <c r="E256" s="5">
        <v>-0.3</v>
      </c>
      <c r="F256" s="5">
        <v>-4.22</v>
      </c>
      <c r="G256" s="5">
        <v>0</v>
      </c>
      <c r="H256" s="5">
        <f t="shared" si="3"/>
        <v>34.480000000000004</v>
      </c>
    </row>
    <row r="257" spans="1:8" x14ac:dyDescent="0.45">
      <c r="A257" s="19">
        <v>45098</v>
      </c>
      <c r="B257" s="1" t="s">
        <v>85</v>
      </c>
      <c r="C257" s="1" t="s">
        <v>256</v>
      </c>
      <c r="D257" s="5">
        <v>109</v>
      </c>
      <c r="E257" s="5">
        <v>-0.3</v>
      </c>
      <c r="F257" s="5">
        <v>-11.91</v>
      </c>
      <c r="G257" s="5">
        <v>0</v>
      </c>
      <c r="H257" s="5">
        <f t="shared" si="3"/>
        <v>96.79</v>
      </c>
    </row>
    <row r="258" spans="1:8" x14ac:dyDescent="0.45">
      <c r="A258" s="19">
        <v>45098</v>
      </c>
      <c r="B258" s="1" t="s">
        <v>85</v>
      </c>
      <c r="C258" s="1" t="s">
        <v>257</v>
      </c>
      <c r="D258" s="5">
        <v>29</v>
      </c>
      <c r="E258" s="5">
        <v>-0.3</v>
      </c>
      <c r="F258" s="5">
        <v>-3.14</v>
      </c>
      <c r="G258" s="5">
        <v>0</v>
      </c>
      <c r="H258" s="5">
        <f t="shared" si="3"/>
        <v>25.56</v>
      </c>
    </row>
    <row r="259" spans="1:8" x14ac:dyDescent="0.45">
      <c r="A259" s="19">
        <v>45099</v>
      </c>
      <c r="B259" s="1" t="s">
        <v>85</v>
      </c>
      <c r="C259" s="1" t="s">
        <v>200</v>
      </c>
      <c r="D259" s="5">
        <v>10</v>
      </c>
      <c r="E259" s="5">
        <v>-0.3</v>
      </c>
      <c r="F259" s="5">
        <v>-1.08</v>
      </c>
      <c r="G259" s="5">
        <v>0</v>
      </c>
      <c r="H259" s="5">
        <f t="shared" ref="H259:H322" si="4">D259+E259+F259</f>
        <v>8.6199999999999992</v>
      </c>
    </row>
    <row r="260" spans="1:8" x14ac:dyDescent="0.45">
      <c r="A260" s="19">
        <v>45099</v>
      </c>
      <c r="B260" s="1" t="s">
        <v>85</v>
      </c>
      <c r="C260" s="1" t="s">
        <v>258</v>
      </c>
      <c r="D260" s="5">
        <v>29</v>
      </c>
      <c r="E260" s="5">
        <v>-0.3</v>
      </c>
      <c r="F260" s="5">
        <v>-2.96</v>
      </c>
      <c r="G260" s="5">
        <v>0</v>
      </c>
      <c r="H260" s="5">
        <f t="shared" si="4"/>
        <v>25.74</v>
      </c>
    </row>
    <row r="261" spans="1:8" x14ac:dyDescent="0.45">
      <c r="A261" s="19">
        <v>45102</v>
      </c>
      <c r="B261" s="1" t="s">
        <v>85</v>
      </c>
      <c r="C261" s="1" t="s">
        <v>210</v>
      </c>
      <c r="D261" s="5">
        <v>20</v>
      </c>
      <c r="E261" s="5">
        <v>-0.3</v>
      </c>
      <c r="F261" s="5">
        <v>-2.04</v>
      </c>
      <c r="G261" s="5">
        <v>0</v>
      </c>
      <c r="H261" s="5">
        <f t="shared" si="4"/>
        <v>17.66</v>
      </c>
    </row>
    <row r="262" spans="1:8" x14ac:dyDescent="0.45">
      <c r="A262" s="19">
        <v>45102</v>
      </c>
      <c r="B262" s="1" t="s">
        <v>85</v>
      </c>
      <c r="C262" s="1" t="s">
        <v>259</v>
      </c>
      <c r="D262" s="5">
        <v>29</v>
      </c>
      <c r="E262" s="5">
        <v>-0.3</v>
      </c>
      <c r="F262" s="5">
        <v>-3.22</v>
      </c>
      <c r="G262" s="5">
        <v>0</v>
      </c>
      <c r="H262" s="5">
        <f t="shared" si="4"/>
        <v>25.48</v>
      </c>
    </row>
    <row r="263" spans="1:8" x14ac:dyDescent="0.45">
      <c r="A263" s="19">
        <v>45102</v>
      </c>
      <c r="B263" s="1" t="s">
        <v>85</v>
      </c>
      <c r="C263" s="1" t="s">
        <v>260</v>
      </c>
      <c r="D263" s="5">
        <v>21</v>
      </c>
      <c r="E263" s="5">
        <v>-0.3</v>
      </c>
      <c r="F263" s="5">
        <v>-2.2599999999999998</v>
      </c>
      <c r="G263" s="5">
        <v>0</v>
      </c>
      <c r="H263" s="5">
        <f t="shared" si="4"/>
        <v>18.439999999999998</v>
      </c>
    </row>
    <row r="264" spans="1:8" x14ac:dyDescent="0.45">
      <c r="A264" s="19">
        <v>45104</v>
      </c>
      <c r="B264" s="1" t="s">
        <v>85</v>
      </c>
      <c r="C264" s="1" t="s">
        <v>261</v>
      </c>
      <c r="D264" s="5">
        <v>39</v>
      </c>
      <c r="E264" s="5">
        <v>-0.3</v>
      </c>
      <c r="F264" s="5">
        <v>-4.22</v>
      </c>
      <c r="G264" s="5">
        <v>0</v>
      </c>
      <c r="H264" s="5">
        <f t="shared" si="4"/>
        <v>34.480000000000004</v>
      </c>
    </row>
    <row r="265" spans="1:8" x14ac:dyDescent="0.45">
      <c r="A265" s="19">
        <v>45104</v>
      </c>
      <c r="B265" s="1" t="s">
        <v>85</v>
      </c>
      <c r="C265" s="1" t="s">
        <v>262</v>
      </c>
      <c r="D265" s="5">
        <v>49</v>
      </c>
      <c r="E265" s="5">
        <v>-0.3</v>
      </c>
      <c r="F265" s="5">
        <v>-5.31</v>
      </c>
      <c r="G265" s="5">
        <v>0</v>
      </c>
      <c r="H265" s="5">
        <f t="shared" si="4"/>
        <v>43.39</v>
      </c>
    </row>
    <row r="266" spans="1:8" x14ac:dyDescent="0.45">
      <c r="A266" s="19">
        <v>45104</v>
      </c>
      <c r="B266" s="1" t="s">
        <v>85</v>
      </c>
      <c r="C266" s="1" t="s">
        <v>263</v>
      </c>
      <c r="D266" s="5">
        <v>49</v>
      </c>
      <c r="E266" s="5">
        <v>-0.3</v>
      </c>
      <c r="F266" s="5">
        <v>-5.35</v>
      </c>
      <c r="G266" s="5">
        <v>0</v>
      </c>
      <c r="H266" s="5">
        <f t="shared" si="4"/>
        <v>43.35</v>
      </c>
    </row>
    <row r="267" spans="1:8" x14ac:dyDescent="0.45">
      <c r="A267" s="19">
        <v>45105</v>
      </c>
      <c r="B267" s="1" t="s">
        <v>85</v>
      </c>
      <c r="C267" s="1" t="s">
        <v>264</v>
      </c>
      <c r="D267" s="5">
        <v>40</v>
      </c>
      <c r="E267" s="5">
        <v>-0.3</v>
      </c>
      <c r="F267" s="5">
        <v>-4.34</v>
      </c>
      <c r="G267" s="5">
        <v>0</v>
      </c>
      <c r="H267" s="5">
        <f t="shared" si="4"/>
        <v>35.36</v>
      </c>
    </row>
    <row r="268" spans="1:8" x14ac:dyDescent="0.45">
      <c r="A268" s="19">
        <v>45105</v>
      </c>
      <c r="B268" s="1" t="s">
        <v>85</v>
      </c>
      <c r="C268" s="1" t="s">
        <v>265</v>
      </c>
      <c r="D268" s="5">
        <v>35</v>
      </c>
      <c r="E268" s="5">
        <v>-0.3</v>
      </c>
      <c r="F268" s="5">
        <v>-3.58</v>
      </c>
      <c r="G268" s="5">
        <v>0</v>
      </c>
      <c r="H268" s="5">
        <f t="shared" si="4"/>
        <v>31.120000000000005</v>
      </c>
    </row>
    <row r="269" spans="1:8" x14ac:dyDescent="0.45">
      <c r="A269" s="19">
        <v>45106</v>
      </c>
      <c r="B269" s="1" t="s">
        <v>85</v>
      </c>
      <c r="C269" s="1" t="s">
        <v>266</v>
      </c>
      <c r="D269" s="5">
        <v>29</v>
      </c>
      <c r="E269" s="5">
        <v>-0.3</v>
      </c>
      <c r="F269" s="5">
        <v>-3.22</v>
      </c>
      <c r="G269" s="5">
        <v>0</v>
      </c>
      <c r="H269" s="5">
        <f t="shared" si="4"/>
        <v>25.48</v>
      </c>
    </row>
    <row r="270" spans="1:8" x14ac:dyDescent="0.45">
      <c r="A270" s="19">
        <v>45107</v>
      </c>
      <c r="B270" s="1" t="s">
        <v>85</v>
      </c>
      <c r="C270" s="1" t="s">
        <v>267</v>
      </c>
      <c r="D270" s="5">
        <v>29</v>
      </c>
      <c r="E270" s="5">
        <v>-0.3</v>
      </c>
      <c r="F270" s="5">
        <v>-3.17</v>
      </c>
      <c r="G270" s="5">
        <v>0</v>
      </c>
      <c r="H270" s="5">
        <f t="shared" si="4"/>
        <v>25.53</v>
      </c>
    </row>
    <row r="271" spans="1:8" x14ac:dyDescent="0.45">
      <c r="A271" s="19">
        <v>45109</v>
      </c>
      <c r="B271" s="1" t="s">
        <v>85</v>
      </c>
      <c r="C271" s="1" t="s">
        <v>268</v>
      </c>
      <c r="D271" s="5">
        <v>42</v>
      </c>
      <c r="E271" s="5">
        <v>-0.3</v>
      </c>
      <c r="F271" s="5">
        <v>-4.55</v>
      </c>
      <c r="G271" s="5">
        <v>0</v>
      </c>
      <c r="H271" s="5">
        <f t="shared" si="4"/>
        <v>37.150000000000006</v>
      </c>
    </row>
    <row r="272" spans="1:8" x14ac:dyDescent="0.45">
      <c r="A272" s="19">
        <v>45110</v>
      </c>
      <c r="B272" s="1" t="s">
        <v>85</v>
      </c>
      <c r="C272" s="1" t="s">
        <v>269</v>
      </c>
      <c r="D272" s="5">
        <v>20</v>
      </c>
      <c r="E272" s="5">
        <v>-0.3</v>
      </c>
      <c r="F272" s="5">
        <v>-2.17</v>
      </c>
      <c r="G272" s="5">
        <v>0</v>
      </c>
      <c r="H272" s="5">
        <f t="shared" si="4"/>
        <v>17.53</v>
      </c>
    </row>
    <row r="273" spans="1:8" x14ac:dyDescent="0.45">
      <c r="A273" s="19">
        <v>45110</v>
      </c>
      <c r="B273" s="1" t="s">
        <v>85</v>
      </c>
      <c r="C273" s="1" t="s">
        <v>270</v>
      </c>
      <c r="D273" s="5">
        <v>69</v>
      </c>
      <c r="E273" s="5">
        <v>-0.3</v>
      </c>
      <c r="F273" s="5">
        <v>-7.47</v>
      </c>
      <c r="G273" s="5">
        <v>0</v>
      </c>
      <c r="H273" s="5">
        <f t="shared" si="4"/>
        <v>61.230000000000004</v>
      </c>
    </row>
    <row r="274" spans="1:8" x14ac:dyDescent="0.45">
      <c r="A274" s="19">
        <v>45110</v>
      </c>
      <c r="B274" s="1" t="s">
        <v>85</v>
      </c>
      <c r="C274" s="1" t="s">
        <v>271</v>
      </c>
      <c r="D274" s="5">
        <v>225</v>
      </c>
      <c r="E274" s="5">
        <v>-0.3</v>
      </c>
      <c r="F274" s="5">
        <v>-22.98</v>
      </c>
      <c r="G274" s="5">
        <v>0</v>
      </c>
      <c r="H274" s="5">
        <f t="shared" si="4"/>
        <v>201.72</v>
      </c>
    </row>
    <row r="275" spans="1:8" x14ac:dyDescent="0.45">
      <c r="A275" s="19">
        <v>45110</v>
      </c>
      <c r="B275" s="1" t="s">
        <v>85</v>
      </c>
      <c r="C275" s="1" t="s">
        <v>272</v>
      </c>
      <c r="D275" s="5">
        <v>39</v>
      </c>
      <c r="E275" s="5">
        <v>-0.3</v>
      </c>
      <c r="F275" s="5">
        <v>-4.26</v>
      </c>
      <c r="G275" s="5">
        <v>0</v>
      </c>
      <c r="H275" s="5">
        <f t="shared" si="4"/>
        <v>34.440000000000005</v>
      </c>
    </row>
    <row r="276" spans="1:8" x14ac:dyDescent="0.45">
      <c r="A276" s="19">
        <v>45110</v>
      </c>
      <c r="B276" s="1" t="s">
        <v>85</v>
      </c>
      <c r="C276" s="1" t="s">
        <v>273</v>
      </c>
      <c r="D276" s="5">
        <v>59</v>
      </c>
      <c r="E276" s="5">
        <v>0</v>
      </c>
      <c r="F276" s="5">
        <v>-6.45</v>
      </c>
      <c r="G276" s="5">
        <v>0</v>
      </c>
      <c r="H276" s="5">
        <f t="shared" si="4"/>
        <v>52.55</v>
      </c>
    </row>
    <row r="277" spans="1:8" x14ac:dyDescent="0.45">
      <c r="A277" s="19">
        <v>45110</v>
      </c>
      <c r="B277" s="1" t="s">
        <v>85</v>
      </c>
      <c r="C277" s="1" t="s">
        <v>274</v>
      </c>
      <c r="D277" s="5">
        <v>40</v>
      </c>
      <c r="E277" s="5">
        <v>-0.3</v>
      </c>
      <c r="F277" s="5">
        <v>-4.38</v>
      </c>
      <c r="G277" s="5">
        <v>0</v>
      </c>
      <c r="H277" s="5">
        <f t="shared" si="4"/>
        <v>35.32</v>
      </c>
    </row>
    <row r="278" spans="1:8" x14ac:dyDescent="0.45">
      <c r="A278" s="19">
        <v>45111</v>
      </c>
      <c r="B278" s="1" t="s">
        <v>85</v>
      </c>
      <c r="C278" s="1" t="s">
        <v>275</v>
      </c>
      <c r="D278" s="5">
        <v>115</v>
      </c>
      <c r="E278" s="5">
        <v>-0.3</v>
      </c>
      <c r="F278" s="5">
        <v>-12.42</v>
      </c>
      <c r="G278" s="5">
        <v>0</v>
      </c>
      <c r="H278" s="5">
        <f t="shared" si="4"/>
        <v>102.28</v>
      </c>
    </row>
    <row r="279" spans="1:8" x14ac:dyDescent="0.45">
      <c r="A279" s="19">
        <v>45112</v>
      </c>
      <c r="B279" s="1" t="s">
        <v>85</v>
      </c>
      <c r="C279" s="1" t="s">
        <v>276</v>
      </c>
      <c r="D279" s="5">
        <v>29</v>
      </c>
      <c r="E279" s="5">
        <v>-0.3</v>
      </c>
      <c r="F279" s="5">
        <v>-3.17</v>
      </c>
      <c r="G279" s="5">
        <v>0</v>
      </c>
      <c r="H279" s="5">
        <f t="shared" si="4"/>
        <v>25.53</v>
      </c>
    </row>
    <row r="280" spans="1:8" x14ac:dyDescent="0.45">
      <c r="A280" s="19">
        <v>45112</v>
      </c>
      <c r="B280" s="1" t="s">
        <v>85</v>
      </c>
      <c r="C280" s="1" t="s">
        <v>277</v>
      </c>
      <c r="D280" s="5">
        <v>14</v>
      </c>
      <c r="E280" s="5">
        <v>-0.3</v>
      </c>
      <c r="F280" s="5">
        <v>-1.52</v>
      </c>
      <c r="G280" s="5">
        <v>0</v>
      </c>
      <c r="H280" s="5">
        <f t="shared" si="4"/>
        <v>12.18</v>
      </c>
    </row>
    <row r="281" spans="1:8" x14ac:dyDescent="0.45">
      <c r="A281" s="19">
        <v>45114</v>
      </c>
      <c r="B281" s="1" t="s">
        <v>85</v>
      </c>
      <c r="C281" s="1" t="s">
        <v>278</v>
      </c>
      <c r="D281" s="5">
        <v>50</v>
      </c>
      <c r="E281" s="5">
        <v>-0.3</v>
      </c>
      <c r="F281" s="5">
        <v>-5.43</v>
      </c>
      <c r="G281" s="5">
        <v>0</v>
      </c>
      <c r="H281" s="5">
        <f t="shared" si="4"/>
        <v>44.27</v>
      </c>
    </row>
    <row r="282" spans="1:8" x14ac:dyDescent="0.45">
      <c r="A282" s="19">
        <v>45114</v>
      </c>
      <c r="B282" s="1" t="s">
        <v>85</v>
      </c>
      <c r="C282" s="1" t="s">
        <v>279</v>
      </c>
      <c r="D282" s="5">
        <v>50</v>
      </c>
      <c r="E282" s="5">
        <v>-0.3</v>
      </c>
      <c r="F282" s="5">
        <v>-5.43</v>
      </c>
      <c r="G282" s="5">
        <v>0</v>
      </c>
      <c r="H282" s="5">
        <f t="shared" si="4"/>
        <v>44.27</v>
      </c>
    </row>
    <row r="283" spans="1:8" x14ac:dyDescent="0.45">
      <c r="A283" s="19">
        <v>45115</v>
      </c>
      <c r="B283" s="1" t="s">
        <v>85</v>
      </c>
      <c r="C283" s="1" t="s">
        <v>280</v>
      </c>
      <c r="D283" s="5">
        <v>49</v>
      </c>
      <c r="E283" s="5">
        <v>-0.3</v>
      </c>
      <c r="F283" s="5">
        <v>-5.36</v>
      </c>
      <c r="G283" s="5">
        <v>0</v>
      </c>
      <c r="H283" s="5">
        <f t="shared" si="4"/>
        <v>43.34</v>
      </c>
    </row>
    <row r="284" spans="1:8" x14ac:dyDescent="0.45">
      <c r="A284" s="19">
        <v>45116</v>
      </c>
      <c r="B284" s="1" t="s">
        <v>85</v>
      </c>
      <c r="C284" s="1" t="s">
        <v>40</v>
      </c>
      <c r="D284" s="5">
        <v>79</v>
      </c>
      <c r="E284" s="5">
        <v>-0.3</v>
      </c>
      <c r="F284" s="5">
        <v>-8.74</v>
      </c>
      <c r="G284" s="5">
        <v>0</v>
      </c>
      <c r="H284" s="5">
        <f t="shared" si="4"/>
        <v>69.960000000000008</v>
      </c>
    </row>
    <row r="285" spans="1:8" x14ac:dyDescent="0.45">
      <c r="A285" s="19">
        <v>45116</v>
      </c>
      <c r="B285" s="1" t="s">
        <v>85</v>
      </c>
      <c r="C285" s="1" t="s">
        <v>281</v>
      </c>
      <c r="D285" s="5">
        <v>20</v>
      </c>
      <c r="E285" s="5">
        <v>-0.3</v>
      </c>
      <c r="F285" s="5">
        <v>-2.17</v>
      </c>
      <c r="G285" s="5">
        <v>0</v>
      </c>
      <c r="H285" s="5">
        <f t="shared" si="4"/>
        <v>17.53</v>
      </c>
    </row>
    <row r="286" spans="1:8" x14ac:dyDescent="0.45">
      <c r="A286" s="19">
        <v>45117</v>
      </c>
      <c r="B286" s="1" t="s">
        <v>85</v>
      </c>
      <c r="C286" s="1" t="s">
        <v>282</v>
      </c>
      <c r="D286" s="5">
        <v>43</v>
      </c>
      <c r="E286" s="5">
        <v>-0.3</v>
      </c>
      <c r="F286" s="5">
        <v>-4.67</v>
      </c>
      <c r="G286" s="5">
        <v>0</v>
      </c>
      <c r="H286" s="5">
        <f t="shared" si="4"/>
        <v>38.03</v>
      </c>
    </row>
    <row r="287" spans="1:8" x14ac:dyDescent="0.45">
      <c r="A287" s="19">
        <v>45118</v>
      </c>
      <c r="B287" s="1" t="s">
        <v>85</v>
      </c>
      <c r="C287" s="1" t="s">
        <v>283</v>
      </c>
      <c r="D287" s="5">
        <v>89</v>
      </c>
      <c r="E287" s="5">
        <v>-0.3</v>
      </c>
      <c r="F287" s="5">
        <v>-9.73</v>
      </c>
      <c r="G287" s="5">
        <v>0</v>
      </c>
      <c r="H287" s="5">
        <f t="shared" si="4"/>
        <v>78.97</v>
      </c>
    </row>
    <row r="288" spans="1:8" x14ac:dyDescent="0.45">
      <c r="A288" s="19">
        <v>45118</v>
      </c>
      <c r="B288" s="1" t="s">
        <v>85</v>
      </c>
      <c r="C288" s="1" t="s">
        <v>284</v>
      </c>
      <c r="D288" s="5">
        <v>55</v>
      </c>
      <c r="E288" s="5">
        <v>-0.3</v>
      </c>
      <c r="F288" s="5">
        <v>-5.96</v>
      </c>
      <c r="G288" s="5">
        <v>0</v>
      </c>
      <c r="H288" s="5">
        <f t="shared" si="4"/>
        <v>48.74</v>
      </c>
    </row>
    <row r="289" spans="1:8" x14ac:dyDescent="0.45">
      <c r="A289" s="19">
        <v>45119</v>
      </c>
      <c r="B289" s="1" t="s">
        <v>85</v>
      </c>
      <c r="C289" s="1" t="s">
        <v>285</v>
      </c>
      <c r="D289" s="5">
        <v>23</v>
      </c>
      <c r="E289" s="5">
        <v>-0.3</v>
      </c>
      <c r="F289" s="5">
        <v>-2.4900000000000002</v>
      </c>
      <c r="G289" s="5">
        <v>0</v>
      </c>
      <c r="H289" s="5">
        <f t="shared" si="4"/>
        <v>20.21</v>
      </c>
    </row>
    <row r="290" spans="1:8" x14ac:dyDescent="0.45">
      <c r="A290" s="19">
        <v>45121</v>
      </c>
      <c r="B290" s="1" t="s">
        <v>85</v>
      </c>
      <c r="C290" s="1" t="s">
        <v>286</v>
      </c>
      <c r="D290" s="5">
        <v>22</v>
      </c>
      <c r="E290" s="5">
        <v>-0.3</v>
      </c>
      <c r="F290" s="5">
        <v>-2.41</v>
      </c>
      <c r="G290" s="5">
        <v>0</v>
      </c>
      <c r="H290" s="5">
        <f t="shared" si="4"/>
        <v>19.29</v>
      </c>
    </row>
    <row r="291" spans="1:8" x14ac:dyDescent="0.45">
      <c r="A291" s="19">
        <v>45122</v>
      </c>
      <c r="B291" s="1" t="s">
        <v>85</v>
      </c>
      <c r="C291" s="1" t="s">
        <v>287</v>
      </c>
      <c r="D291" s="5">
        <v>29</v>
      </c>
      <c r="E291" s="5">
        <v>-0.3</v>
      </c>
      <c r="F291" s="5">
        <v>-3.14</v>
      </c>
      <c r="G291" s="5">
        <v>0</v>
      </c>
      <c r="H291" s="5">
        <f t="shared" si="4"/>
        <v>25.56</v>
      </c>
    </row>
    <row r="292" spans="1:8" x14ac:dyDescent="0.45">
      <c r="A292" s="19">
        <v>45122</v>
      </c>
      <c r="B292" s="1" t="s">
        <v>85</v>
      </c>
      <c r="C292" s="1" t="s">
        <v>288</v>
      </c>
      <c r="D292" s="5">
        <v>25</v>
      </c>
      <c r="E292" s="5">
        <v>-0.3</v>
      </c>
      <c r="F292" s="5">
        <v>-2.77</v>
      </c>
      <c r="G292" s="5">
        <v>0</v>
      </c>
      <c r="H292" s="5">
        <f t="shared" si="4"/>
        <v>21.93</v>
      </c>
    </row>
    <row r="293" spans="1:8" x14ac:dyDescent="0.45">
      <c r="A293" s="19">
        <v>45123</v>
      </c>
      <c r="B293" s="1" t="s">
        <v>91</v>
      </c>
      <c r="C293" s="1" t="s">
        <v>261</v>
      </c>
      <c r="D293" s="5">
        <v>0</v>
      </c>
      <c r="E293" s="5">
        <v>0</v>
      </c>
      <c r="F293" s="5">
        <v>0</v>
      </c>
      <c r="G293" s="5">
        <v>-34.479999999999997</v>
      </c>
      <c r="H293" s="5">
        <f t="shared" si="4"/>
        <v>0</v>
      </c>
    </row>
    <row r="294" spans="1:8" x14ac:dyDescent="0.45">
      <c r="A294" s="19">
        <v>45124</v>
      </c>
      <c r="B294" s="1" t="s">
        <v>85</v>
      </c>
      <c r="C294" s="1" t="s">
        <v>289</v>
      </c>
      <c r="D294" s="5">
        <v>49</v>
      </c>
      <c r="E294" s="5">
        <v>-0.3</v>
      </c>
      <c r="F294" s="5">
        <v>-5.48</v>
      </c>
      <c r="G294" s="5">
        <v>0</v>
      </c>
      <c r="H294" s="5">
        <f t="shared" si="4"/>
        <v>43.22</v>
      </c>
    </row>
    <row r="295" spans="1:8" x14ac:dyDescent="0.45">
      <c r="A295" s="19">
        <v>45124</v>
      </c>
      <c r="B295" s="1" t="s">
        <v>85</v>
      </c>
      <c r="C295" s="1" t="s">
        <v>290</v>
      </c>
      <c r="D295" s="5">
        <v>24</v>
      </c>
      <c r="E295" s="5">
        <v>-0.3</v>
      </c>
      <c r="F295" s="5">
        <v>-2.59</v>
      </c>
      <c r="G295" s="5">
        <v>0</v>
      </c>
      <c r="H295" s="5">
        <f t="shared" si="4"/>
        <v>21.11</v>
      </c>
    </row>
    <row r="296" spans="1:8" x14ac:dyDescent="0.45">
      <c r="A296" s="19">
        <v>45124</v>
      </c>
      <c r="B296" s="1" t="s">
        <v>85</v>
      </c>
      <c r="C296" s="1" t="s">
        <v>291</v>
      </c>
      <c r="D296" s="5">
        <v>40</v>
      </c>
      <c r="E296" s="5">
        <v>-0.3</v>
      </c>
      <c r="F296" s="5">
        <v>-4.37</v>
      </c>
      <c r="G296" s="5">
        <v>0</v>
      </c>
      <c r="H296" s="5">
        <f t="shared" si="4"/>
        <v>35.330000000000005</v>
      </c>
    </row>
    <row r="297" spans="1:8" x14ac:dyDescent="0.45">
      <c r="A297" s="19">
        <v>45125</v>
      </c>
      <c r="B297" s="1" t="s">
        <v>85</v>
      </c>
      <c r="C297" s="1" t="s">
        <v>292</v>
      </c>
      <c r="D297" s="5">
        <v>20</v>
      </c>
      <c r="E297" s="5">
        <v>-0.3</v>
      </c>
      <c r="F297" s="5">
        <v>-2.19</v>
      </c>
      <c r="G297" s="5">
        <v>0</v>
      </c>
      <c r="H297" s="5">
        <f t="shared" si="4"/>
        <v>17.509999999999998</v>
      </c>
    </row>
    <row r="298" spans="1:8" x14ac:dyDescent="0.45">
      <c r="A298" s="19">
        <v>45125</v>
      </c>
      <c r="B298" s="1" t="s">
        <v>85</v>
      </c>
      <c r="C298" s="1" t="s">
        <v>261</v>
      </c>
      <c r="D298" s="5">
        <v>30</v>
      </c>
      <c r="E298" s="5">
        <v>-0.3</v>
      </c>
      <c r="F298" s="5">
        <v>-3.27</v>
      </c>
      <c r="G298" s="5">
        <v>0</v>
      </c>
      <c r="H298" s="5">
        <f t="shared" si="4"/>
        <v>26.43</v>
      </c>
    </row>
    <row r="299" spans="1:8" x14ac:dyDescent="0.45">
      <c r="A299" s="19">
        <v>45125</v>
      </c>
      <c r="B299" s="1" t="s">
        <v>85</v>
      </c>
      <c r="C299" s="1" t="s">
        <v>293</v>
      </c>
      <c r="D299" s="5">
        <v>20</v>
      </c>
      <c r="E299" s="5">
        <v>-0.3</v>
      </c>
      <c r="F299" s="5">
        <v>-2.17</v>
      </c>
      <c r="G299" s="5">
        <v>0</v>
      </c>
      <c r="H299" s="5">
        <f t="shared" si="4"/>
        <v>17.53</v>
      </c>
    </row>
    <row r="300" spans="1:8" x14ac:dyDescent="0.45">
      <c r="A300" s="19">
        <v>45126</v>
      </c>
      <c r="B300" s="1" t="s">
        <v>85</v>
      </c>
      <c r="C300" s="1" t="s">
        <v>294</v>
      </c>
      <c r="D300" s="5">
        <v>67</v>
      </c>
      <c r="E300" s="5">
        <v>-0.3</v>
      </c>
      <c r="F300" s="5">
        <v>-7.32</v>
      </c>
      <c r="G300" s="5">
        <v>0</v>
      </c>
      <c r="H300" s="5">
        <f t="shared" si="4"/>
        <v>59.38</v>
      </c>
    </row>
    <row r="301" spans="1:8" x14ac:dyDescent="0.45">
      <c r="A301" s="19">
        <v>45127</v>
      </c>
      <c r="B301" s="1" t="s">
        <v>85</v>
      </c>
      <c r="C301" s="1" t="s">
        <v>295</v>
      </c>
      <c r="D301" s="5">
        <v>19</v>
      </c>
      <c r="E301" s="5">
        <v>-0.3</v>
      </c>
      <c r="F301" s="5">
        <v>-2.06</v>
      </c>
      <c r="G301" s="5">
        <v>0</v>
      </c>
      <c r="H301" s="5">
        <f t="shared" si="4"/>
        <v>16.64</v>
      </c>
    </row>
    <row r="302" spans="1:8" x14ac:dyDescent="0.45">
      <c r="A302" s="19">
        <v>45129</v>
      </c>
      <c r="B302" s="1" t="s">
        <v>85</v>
      </c>
      <c r="C302" s="1" t="s">
        <v>296</v>
      </c>
      <c r="D302" s="5">
        <v>55</v>
      </c>
      <c r="E302" s="5">
        <v>-0.3</v>
      </c>
      <c r="F302" s="5">
        <v>-5.9</v>
      </c>
      <c r="G302" s="5">
        <v>0</v>
      </c>
      <c r="H302" s="5">
        <f t="shared" si="4"/>
        <v>48.800000000000004</v>
      </c>
    </row>
    <row r="303" spans="1:8" x14ac:dyDescent="0.45">
      <c r="A303" s="19">
        <v>45129</v>
      </c>
      <c r="B303" s="1" t="s">
        <v>85</v>
      </c>
      <c r="C303" s="1" t="s">
        <v>297</v>
      </c>
      <c r="D303" s="5">
        <v>59</v>
      </c>
      <c r="E303" s="5">
        <v>-0.3</v>
      </c>
      <c r="F303" s="5">
        <v>-6.55</v>
      </c>
      <c r="G303" s="5">
        <v>0</v>
      </c>
      <c r="H303" s="5">
        <f t="shared" si="4"/>
        <v>52.150000000000006</v>
      </c>
    </row>
    <row r="304" spans="1:8" x14ac:dyDescent="0.45">
      <c r="A304" s="19">
        <v>45129</v>
      </c>
      <c r="B304" s="1" t="s">
        <v>85</v>
      </c>
      <c r="C304" s="1" t="s">
        <v>298</v>
      </c>
      <c r="D304" s="5">
        <v>20</v>
      </c>
      <c r="E304" s="5">
        <v>-0.3</v>
      </c>
      <c r="F304" s="5">
        <v>-2.17</v>
      </c>
      <c r="G304" s="5">
        <v>0</v>
      </c>
      <c r="H304" s="5">
        <f t="shared" si="4"/>
        <v>17.53</v>
      </c>
    </row>
    <row r="305" spans="1:8" x14ac:dyDescent="0.45">
      <c r="A305" s="19">
        <v>45130</v>
      </c>
      <c r="B305" s="1" t="s">
        <v>85</v>
      </c>
      <c r="C305" s="1" t="s">
        <v>299</v>
      </c>
      <c r="D305" s="5">
        <v>40</v>
      </c>
      <c r="E305" s="5">
        <v>-0.3</v>
      </c>
      <c r="F305" s="5">
        <v>-4.38</v>
      </c>
      <c r="G305" s="5">
        <v>0</v>
      </c>
      <c r="H305" s="5">
        <f t="shared" si="4"/>
        <v>35.32</v>
      </c>
    </row>
    <row r="306" spans="1:8" x14ac:dyDescent="0.45">
      <c r="A306" s="19">
        <v>45130</v>
      </c>
      <c r="B306" s="1" t="s">
        <v>85</v>
      </c>
      <c r="C306" s="1" t="s">
        <v>300</v>
      </c>
      <c r="D306" s="5">
        <v>29</v>
      </c>
      <c r="E306" s="5">
        <v>-0.3</v>
      </c>
      <c r="F306" s="5">
        <v>-3.13</v>
      </c>
      <c r="G306" s="5">
        <v>0</v>
      </c>
      <c r="H306" s="5">
        <f t="shared" si="4"/>
        <v>25.57</v>
      </c>
    </row>
    <row r="307" spans="1:8" x14ac:dyDescent="0.45">
      <c r="A307" s="19">
        <v>45130</v>
      </c>
      <c r="B307" s="1" t="s">
        <v>85</v>
      </c>
      <c r="C307" s="1" t="s">
        <v>301</v>
      </c>
      <c r="D307" s="5">
        <v>39</v>
      </c>
      <c r="E307" s="5">
        <v>-0.3</v>
      </c>
      <c r="F307" s="5">
        <v>-4.21</v>
      </c>
      <c r="G307" s="5">
        <v>0</v>
      </c>
      <c r="H307" s="5">
        <f t="shared" si="4"/>
        <v>34.49</v>
      </c>
    </row>
    <row r="308" spans="1:8" x14ac:dyDescent="0.45">
      <c r="A308" s="19">
        <v>45131</v>
      </c>
      <c r="B308" s="1" t="s">
        <v>85</v>
      </c>
      <c r="C308" s="1" t="s">
        <v>302</v>
      </c>
      <c r="D308" s="5">
        <v>99</v>
      </c>
      <c r="E308" s="5">
        <v>-0.3</v>
      </c>
      <c r="F308" s="5">
        <v>-10.95</v>
      </c>
      <c r="G308" s="5">
        <v>0</v>
      </c>
      <c r="H308" s="5">
        <f t="shared" si="4"/>
        <v>87.75</v>
      </c>
    </row>
    <row r="309" spans="1:8" x14ac:dyDescent="0.45">
      <c r="A309" s="19">
        <v>45133</v>
      </c>
      <c r="B309" s="1" t="s">
        <v>85</v>
      </c>
      <c r="C309" s="1" t="s">
        <v>303</v>
      </c>
      <c r="D309" s="5">
        <v>70</v>
      </c>
      <c r="E309" s="5">
        <v>-0.3</v>
      </c>
      <c r="F309" s="5">
        <v>-7.65</v>
      </c>
      <c r="G309" s="5">
        <v>0</v>
      </c>
      <c r="H309" s="5">
        <f t="shared" si="4"/>
        <v>62.050000000000004</v>
      </c>
    </row>
    <row r="310" spans="1:8" x14ac:dyDescent="0.45">
      <c r="A310" s="19">
        <v>45134</v>
      </c>
      <c r="B310" s="1" t="s">
        <v>85</v>
      </c>
      <c r="C310" s="1" t="s">
        <v>304</v>
      </c>
      <c r="D310" s="5">
        <v>109</v>
      </c>
      <c r="E310" s="5">
        <v>-0.3</v>
      </c>
      <c r="F310" s="5">
        <v>-11.91</v>
      </c>
      <c r="G310" s="5">
        <v>0</v>
      </c>
      <c r="H310" s="5">
        <f t="shared" si="4"/>
        <v>96.79</v>
      </c>
    </row>
    <row r="311" spans="1:8" x14ac:dyDescent="0.45">
      <c r="A311" s="19">
        <v>45135</v>
      </c>
      <c r="B311" s="1" t="s">
        <v>85</v>
      </c>
      <c r="C311" s="1" t="s">
        <v>305</v>
      </c>
      <c r="D311" s="5">
        <v>65</v>
      </c>
      <c r="E311" s="5">
        <v>-0.3</v>
      </c>
      <c r="F311" s="5">
        <v>-7.04</v>
      </c>
      <c r="G311" s="5">
        <v>0</v>
      </c>
      <c r="H311" s="5">
        <f t="shared" si="4"/>
        <v>57.660000000000004</v>
      </c>
    </row>
    <row r="312" spans="1:8" x14ac:dyDescent="0.45">
      <c r="A312" s="19">
        <v>45136</v>
      </c>
      <c r="B312" s="1" t="s">
        <v>85</v>
      </c>
      <c r="C312" s="1" t="s">
        <v>306</v>
      </c>
      <c r="D312" s="5">
        <v>22.99</v>
      </c>
      <c r="E312" s="5">
        <v>-0.3</v>
      </c>
      <c r="F312" s="5">
        <v>-2.54</v>
      </c>
      <c r="G312" s="5">
        <v>0</v>
      </c>
      <c r="H312" s="5">
        <f t="shared" si="4"/>
        <v>20.149999999999999</v>
      </c>
    </row>
    <row r="313" spans="1:8" x14ac:dyDescent="0.45">
      <c r="A313" s="19">
        <v>45136</v>
      </c>
      <c r="B313" s="1" t="s">
        <v>85</v>
      </c>
      <c r="C313" s="1" t="s">
        <v>307</v>
      </c>
      <c r="D313" s="5">
        <v>20</v>
      </c>
      <c r="E313" s="5">
        <v>-0.3</v>
      </c>
      <c r="F313" s="5">
        <v>-2.17</v>
      </c>
      <c r="G313" s="5">
        <v>0</v>
      </c>
      <c r="H313" s="5">
        <f t="shared" si="4"/>
        <v>17.53</v>
      </c>
    </row>
    <row r="314" spans="1:8" x14ac:dyDescent="0.45">
      <c r="A314" s="19">
        <v>45137</v>
      </c>
      <c r="B314" s="1" t="s">
        <v>85</v>
      </c>
      <c r="C314" s="1" t="s">
        <v>308</v>
      </c>
      <c r="D314" s="5">
        <v>9</v>
      </c>
      <c r="E314" s="5">
        <v>-0.3</v>
      </c>
      <c r="F314" s="5">
        <v>-0.98</v>
      </c>
      <c r="G314" s="5">
        <v>0</v>
      </c>
      <c r="H314" s="5">
        <f t="shared" si="4"/>
        <v>7.7199999999999989</v>
      </c>
    </row>
    <row r="315" spans="1:8" x14ac:dyDescent="0.45">
      <c r="A315" s="19">
        <v>45137</v>
      </c>
      <c r="B315" s="1" t="s">
        <v>85</v>
      </c>
      <c r="C315" s="1" t="s">
        <v>309</v>
      </c>
      <c r="D315" s="5">
        <v>42</v>
      </c>
      <c r="E315" s="5">
        <v>-0.3</v>
      </c>
      <c r="F315" s="5">
        <v>-4.59</v>
      </c>
      <c r="G315" s="5">
        <v>0</v>
      </c>
      <c r="H315" s="5">
        <f t="shared" si="4"/>
        <v>37.11</v>
      </c>
    </row>
    <row r="316" spans="1:8" x14ac:dyDescent="0.45">
      <c r="A316" s="19">
        <v>45138</v>
      </c>
      <c r="B316" s="1" t="s">
        <v>85</v>
      </c>
      <c r="C316" s="1" t="s">
        <v>310</v>
      </c>
      <c r="D316" s="5">
        <v>115</v>
      </c>
      <c r="E316" s="5">
        <v>-0.3</v>
      </c>
      <c r="F316" s="5">
        <v>-12.45</v>
      </c>
      <c r="G316" s="5">
        <v>0</v>
      </c>
      <c r="H316" s="5">
        <f t="shared" si="4"/>
        <v>102.25</v>
      </c>
    </row>
    <row r="317" spans="1:8" x14ac:dyDescent="0.45">
      <c r="A317" s="19">
        <v>45138</v>
      </c>
      <c r="B317" s="1" t="s">
        <v>85</v>
      </c>
      <c r="C317" s="1" t="s">
        <v>311</v>
      </c>
      <c r="D317" s="5">
        <v>99</v>
      </c>
      <c r="E317" s="5">
        <v>-0.3</v>
      </c>
      <c r="F317" s="5">
        <v>-10.82</v>
      </c>
      <c r="G317" s="5">
        <v>0</v>
      </c>
      <c r="H317" s="5">
        <f t="shared" si="4"/>
        <v>87.88</v>
      </c>
    </row>
    <row r="318" spans="1:8" x14ac:dyDescent="0.45">
      <c r="A318" s="19">
        <v>45139</v>
      </c>
      <c r="B318" s="1" t="s">
        <v>85</v>
      </c>
      <c r="C318" s="1" t="s">
        <v>312</v>
      </c>
      <c r="D318" s="5">
        <v>99</v>
      </c>
      <c r="E318" s="5">
        <v>-0.3</v>
      </c>
      <c r="F318" s="5">
        <v>-10.73</v>
      </c>
      <c r="G318" s="5">
        <v>0</v>
      </c>
      <c r="H318" s="5">
        <f t="shared" si="4"/>
        <v>87.97</v>
      </c>
    </row>
    <row r="319" spans="1:8" x14ac:dyDescent="0.45">
      <c r="A319" s="19">
        <v>45139</v>
      </c>
      <c r="B319" s="1" t="s">
        <v>85</v>
      </c>
      <c r="C319" s="1" t="s">
        <v>313</v>
      </c>
      <c r="D319" s="5">
        <v>39</v>
      </c>
      <c r="E319" s="5">
        <v>-0.3</v>
      </c>
      <c r="F319" s="5">
        <v>-4.25</v>
      </c>
      <c r="G319" s="5">
        <v>0</v>
      </c>
      <c r="H319" s="5">
        <f t="shared" si="4"/>
        <v>34.450000000000003</v>
      </c>
    </row>
    <row r="320" spans="1:8" x14ac:dyDescent="0.45">
      <c r="A320" s="19">
        <v>45139</v>
      </c>
      <c r="B320" s="1" t="s">
        <v>85</v>
      </c>
      <c r="C320" s="1" t="s">
        <v>314</v>
      </c>
      <c r="D320" s="5">
        <v>33</v>
      </c>
      <c r="E320" s="5">
        <v>-0.3</v>
      </c>
      <c r="F320" s="5">
        <v>-3.37</v>
      </c>
      <c r="G320" s="5">
        <v>0</v>
      </c>
      <c r="H320" s="5">
        <f t="shared" si="4"/>
        <v>29.330000000000002</v>
      </c>
    </row>
    <row r="321" spans="1:8" x14ac:dyDescent="0.45">
      <c r="A321" s="19">
        <v>45140</v>
      </c>
      <c r="B321" s="1" t="s">
        <v>85</v>
      </c>
      <c r="C321" s="1" t="s">
        <v>315</v>
      </c>
      <c r="D321" s="5">
        <v>50</v>
      </c>
      <c r="E321" s="5">
        <v>-0.3</v>
      </c>
      <c r="F321" s="5">
        <v>-5.47</v>
      </c>
      <c r="G321" s="5">
        <v>0</v>
      </c>
      <c r="H321" s="5">
        <f t="shared" si="4"/>
        <v>44.230000000000004</v>
      </c>
    </row>
    <row r="322" spans="1:8" x14ac:dyDescent="0.45">
      <c r="A322" s="19">
        <v>45140</v>
      </c>
      <c r="B322" s="1" t="s">
        <v>85</v>
      </c>
      <c r="C322" s="1" t="s">
        <v>316</v>
      </c>
      <c r="D322" s="5">
        <v>19</v>
      </c>
      <c r="E322" s="5">
        <v>-0.3</v>
      </c>
      <c r="F322" s="5">
        <v>-2.06</v>
      </c>
      <c r="G322" s="5">
        <v>0</v>
      </c>
      <c r="H322" s="5">
        <f t="shared" si="4"/>
        <v>16.64</v>
      </c>
    </row>
    <row r="323" spans="1:8" x14ac:dyDescent="0.45">
      <c r="A323" s="19">
        <v>45141</v>
      </c>
      <c r="B323" s="1" t="s">
        <v>85</v>
      </c>
      <c r="C323" s="1" t="s">
        <v>317</v>
      </c>
      <c r="D323" s="5">
        <v>19</v>
      </c>
      <c r="E323" s="5">
        <v>-0.3</v>
      </c>
      <c r="F323" s="5">
        <v>-2.06</v>
      </c>
      <c r="G323" s="5">
        <v>0</v>
      </c>
      <c r="H323" s="5">
        <f t="shared" ref="H323:H386" si="5">D323+E323+F323</f>
        <v>16.64</v>
      </c>
    </row>
    <row r="324" spans="1:8" x14ac:dyDescent="0.45">
      <c r="A324" s="19">
        <v>45141</v>
      </c>
      <c r="B324" s="1" t="s">
        <v>85</v>
      </c>
      <c r="C324" s="1" t="s">
        <v>318</v>
      </c>
      <c r="D324" s="5">
        <v>39</v>
      </c>
      <c r="E324" s="5">
        <v>-0.3</v>
      </c>
      <c r="F324" s="5">
        <v>-4.3099999999999996</v>
      </c>
      <c r="G324" s="5">
        <v>0</v>
      </c>
      <c r="H324" s="5">
        <f t="shared" si="5"/>
        <v>34.39</v>
      </c>
    </row>
    <row r="325" spans="1:8" x14ac:dyDescent="0.45">
      <c r="A325" s="19">
        <v>45142</v>
      </c>
      <c r="B325" s="1" t="s">
        <v>85</v>
      </c>
      <c r="C325" s="1" t="s">
        <v>319</v>
      </c>
      <c r="D325" s="5">
        <v>20</v>
      </c>
      <c r="E325" s="5">
        <v>-0.3</v>
      </c>
      <c r="F325" s="5">
        <v>-2.21</v>
      </c>
      <c r="G325" s="5">
        <v>0</v>
      </c>
      <c r="H325" s="5">
        <f t="shared" si="5"/>
        <v>17.489999999999998</v>
      </c>
    </row>
    <row r="326" spans="1:8" x14ac:dyDescent="0.45">
      <c r="A326" s="19">
        <v>45143</v>
      </c>
      <c r="B326" s="1" t="s">
        <v>85</v>
      </c>
      <c r="C326" s="1" t="s">
        <v>320</v>
      </c>
      <c r="D326" s="5">
        <v>19</v>
      </c>
      <c r="E326" s="5">
        <v>-0.3</v>
      </c>
      <c r="F326" s="5">
        <v>-2.06</v>
      </c>
      <c r="G326" s="5">
        <v>0</v>
      </c>
      <c r="H326" s="5">
        <f t="shared" si="5"/>
        <v>16.64</v>
      </c>
    </row>
    <row r="327" spans="1:8" x14ac:dyDescent="0.45">
      <c r="A327" s="19">
        <v>45143</v>
      </c>
      <c r="B327" s="1" t="s">
        <v>85</v>
      </c>
      <c r="C327" s="1" t="s">
        <v>321</v>
      </c>
      <c r="D327" s="5">
        <v>59</v>
      </c>
      <c r="E327" s="5">
        <v>-0.3</v>
      </c>
      <c r="F327" s="5">
        <v>-6.52</v>
      </c>
      <c r="G327" s="5">
        <v>0</v>
      </c>
      <c r="H327" s="5">
        <f t="shared" si="5"/>
        <v>52.180000000000007</v>
      </c>
    </row>
    <row r="328" spans="1:8" x14ac:dyDescent="0.45">
      <c r="A328" s="19">
        <v>45145</v>
      </c>
      <c r="B328" s="1" t="s">
        <v>85</v>
      </c>
      <c r="C328" s="1" t="s">
        <v>322</v>
      </c>
      <c r="D328" s="5">
        <v>22</v>
      </c>
      <c r="E328" s="5">
        <v>-0.3</v>
      </c>
      <c r="F328" s="5">
        <v>-2.38</v>
      </c>
      <c r="G328" s="5">
        <v>0</v>
      </c>
      <c r="H328" s="5">
        <f t="shared" si="5"/>
        <v>19.32</v>
      </c>
    </row>
    <row r="329" spans="1:8" x14ac:dyDescent="0.45">
      <c r="A329" s="19">
        <v>45146</v>
      </c>
      <c r="B329" s="1" t="s">
        <v>85</v>
      </c>
      <c r="C329" s="1" t="s">
        <v>323</v>
      </c>
      <c r="D329" s="5">
        <v>75</v>
      </c>
      <c r="E329" s="5">
        <v>-0.3</v>
      </c>
      <c r="F329" s="5">
        <v>-8.41</v>
      </c>
      <c r="G329" s="5">
        <v>0</v>
      </c>
      <c r="H329" s="5">
        <f t="shared" si="5"/>
        <v>66.290000000000006</v>
      </c>
    </row>
    <row r="330" spans="1:8" x14ac:dyDescent="0.45">
      <c r="A330" s="19">
        <v>45148</v>
      </c>
      <c r="B330" s="1" t="s">
        <v>85</v>
      </c>
      <c r="C330" s="1" t="s">
        <v>324</v>
      </c>
      <c r="D330" s="5">
        <v>99</v>
      </c>
      <c r="E330" s="5">
        <v>-0.3</v>
      </c>
      <c r="F330" s="5">
        <v>-11.07</v>
      </c>
      <c r="G330" s="5">
        <v>0</v>
      </c>
      <c r="H330" s="5">
        <f t="shared" si="5"/>
        <v>87.63</v>
      </c>
    </row>
    <row r="331" spans="1:8" x14ac:dyDescent="0.45">
      <c r="A331" s="19">
        <v>45148</v>
      </c>
      <c r="B331" s="1" t="s">
        <v>85</v>
      </c>
      <c r="C331" s="1" t="s">
        <v>325</v>
      </c>
      <c r="D331" s="5">
        <v>15</v>
      </c>
      <c r="E331" s="5">
        <v>-0.3</v>
      </c>
      <c r="F331" s="5">
        <v>-1.61</v>
      </c>
      <c r="G331" s="5">
        <v>0</v>
      </c>
      <c r="H331" s="5">
        <f t="shared" si="5"/>
        <v>13.09</v>
      </c>
    </row>
    <row r="332" spans="1:8" x14ac:dyDescent="0.45">
      <c r="A332" s="19">
        <v>45150</v>
      </c>
      <c r="B332" s="1" t="s">
        <v>85</v>
      </c>
      <c r="C332" s="1" t="s">
        <v>326</v>
      </c>
      <c r="D332" s="5">
        <v>39</v>
      </c>
      <c r="E332" s="5">
        <v>-0.3</v>
      </c>
      <c r="F332" s="5">
        <v>-4.28</v>
      </c>
      <c r="G332" s="5">
        <v>0</v>
      </c>
      <c r="H332" s="5">
        <f t="shared" si="5"/>
        <v>34.42</v>
      </c>
    </row>
    <row r="333" spans="1:8" x14ac:dyDescent="0.45">
      <c r="A333" s="19">
        <v>45151</v>
      </c>
      <c r="B333" s="1" t="s">
        <v>85</v>
      </c>
      <c r="C333" s="1" t="s">
        <v>327</v>
      </c>
      <c r="D333" s="5">
        <v>32</v>
      </c>
      <c r="E333" s="5">
        <v>-0.3</v>
      </c>
      <c r="F333" s="5">
        <v>-3.55</v>
      </c>
      <c r="G333" s="5">
        <v>0</v>
      </c>
      <c r="H333" s="5">
        <f t="shared" si="5"/>
        <v>28.15</v>
      </c>
    </row>
    <row r="334" spans="1:8" x14ac:dyDescent="0.45">
      <c r="A334" s="19">
        <v>45152</v>
      </c>
      <c r="B334" s="1" t="s">
        <v>85</v>
      </c>
      <c r="C334" s="1" t="s">
        <v>328</v>
      </c>
      <c r="D334" s="5">
        <v>25</v>
      </c>
      <c r="E334" s="5">
        <v>-0.3</v>
      </c>
      <c r="F334" s="5">
        <v>-2.5499999999999998</v>
      </c>
      <c r="G334" s="5">
        <v>0</v>
      </c>
      <c r="H334" s="5">
        <f t="shared" si="5"/>
        <v>22.15</v>
      </c>
    </row>
    <row r="335" spans="1:8" x14ac:dyDescent="0.45">
      <c r="A335" s="19">
        <v>45152</v>
      </c>
      <c r="B335" s="1" t="s">
        <v>85</v>
      </c>
      <c r="C335" s="1" t="s">
        <v>329</v>
      </c>
      <c r="D335" s="5">
        <v>80</v>
      </c>
      <c r="E335" s="5">
        <v>-0.3</v>
      </c>
      <c r="F335" s="5">
        <v>-8.61</v>
      </c>
      <c r="G335" s="5">
        <v>0</v>
      </c>
      <c r="H335" s="5">
        <f t="shared" si="5"/>
        <v>71.09</v>
      </c>
    </row>
    <row r="336" spans="1:8" x14ac:dyDescent="0.45">
      <c r="A336" s="19">
        <v>45154</v>
      </c>
      <c r="B336" s="1" t="s">
        <v>85</v>
      </c>
      <c r="C336" s="1" t="s">
        <v>330</v>
      </c>
      <c r="D336" s="5">
        <v>19</v>
      </c>
      <c r="E336" s="5">
        <v>-0.3</v>
      </c>
      <c r="F336" s="5">
        <v>-2.11</v>
      </c>
      <c r="G336" s="5">
        <v>0</v>
      </c>
      <c r="H336" s="5">
        <f t="shared" si="5"/>
        <v>16.59</v>
      </c>
    </row>
    <row r="337" spans="1:8" x14ac:dyDescent="0.45">
      <c r="A337" s="19">
        <v>45155</v>
      </c>
      <c r="B337" s="1" t="s">
        <v>85</v>
      </c>
      <c r="C337" s="1" t="s">
        <v>331</v>
      </c>
      <c r="D337" s="5">
        <v>15</v>
      </c>
      <c r="E337" s="5">
        <v>-0.3</v>
      </c>
      <c r="F337" s="5">
        <v>-1.65</v>
      </c>
      <c r="G337" s="5">
        <v>0</v>
      </c>
      <c r="H337" s="5">
        <f t="shared" si="5"/>
        <v>13.049999999999999</v>
      </c>
    </row>
    <row r="338" spans="1:8" x14ac:dyDescent="0.45">
      <c r="A338" s="19">
        <v>45155</v>
      </c>
      <c r="B338" s="1" t="s">
        <v>85</v>
      </c>
      <c r="C338" s="1" t="s">
        <v>332</v>
      </c>
      <c r="D338" s="5">
        <v>150</v>
      </c>
      <c r="E338" s="5">
        <v>-0.3</v>
      </c>
      <c r="F338" s="5">
        <v>-16.28</v>
      </c>
      <c r="G338" s="5">
        <v>0</v>
      </c>
      <c r="H338" s="5">
        <f t="shared" si="5"/>
        <v>133.41999999999999</v>
      </c>
    </row>
    <row r="339" spans="1:8" x14ac:dyDescent="0.45">
      <c r="A339" s="19">
        <v>45155</v>
      </c>
      <c r="B339" s="1" t="s">
        <v>85</v>
      </c>
      <c r="C339" s="1" t="s">
        <v>333</v>
      </c>
      <c r="D339" s="5">
        <v>65</v>
      </c>
      <c r="E339" s="5">
        <v>-0.3</v>
      </c>
      <c r="F339" s="5">
        <v>-6.99</v>
      </c>
      <c r="G339" s="5">
        <v>0</v>
      </c>
      <c r="H339" s="5">
        <f t="shared" si="5"/>
        <v>57.71</v>
      </c>
    </row>
    <row r="340" spans="1:8" x14ac:dyDescent="0.45">
      <c r="A340" s="19">
        <v>45156</v>
      </c>
      <c r="B340" s="1" t="s">
        <v>85</v>
      </c>
      <c r="C340" s="1" t="s">
        <v>334</v>
      </c>
      <c r="D340" s="5">
        <v>30</v>
      </c>
      <c r="E340" s="5">
        <v>-0.3</v>
      </c>
      <c r="F340" s="5">
        <v>-3.26</v>
      </c>
      <c r="G340" s="5">
        <v>0</v>
      </c>
      <c r="H340" s="5">
        <f t="shared" si="5"/>
        <v>26.439999999999998</v>
      </c>
    </row>
    <row r="341" spans="1:8" x14ac:dyDescent="0.45">
      <c r="A341" s="19">
        <v>45158</v>
      </c>
      <c r="B341" s="1" t="s">
        <v>85</v>
      </c>
      <c r="C341" s="1" t="s">
        <v>335</v>
      </c>
      <c r="D341" s="5">
        <v>49</v>
      </c>
      <c r="E341" s="5">
        <v>-0.3</v>
      </c>
      <c r="F341" s="5">
        <v>-5.36</v>
      </c>
      <c r="G341" s="5">
        <v>0</v>
      </c>
      <c r="H341" s="5">
        <f t="shared" si="5"/>
        <v>43.34</v>
      </c>
    </row>
    <row r="342" spans="1:8" x14ac:dyDescent="0.45">
      <c r="A342" s="19">
        <v>45158</v>
      </c>
      <c r="B342" s="1" t="s">
        <v>85</v>
      </c>
      <c r="C342" s="1" t="s">
        <v>336</v>
      </c>
      <c r="D342" s="5">
        <v>45</v>
      </c>
      <c r="E342" s="5">
        <v>-0.3</v>
      </c>
      <c r="F342" s="5">
        <v>-4.8099999999999996</v>
      </c>
      <c r="G342" s="5">
        <v>0</v>
      </c>
      <c r="H342" s="5">
        <f t="shared" si="5"/>
        <v>39.89</v>
      </c>
    </row>
    <row r="343" spans="1:8" x14ac:dyDescent="0.45">
      <c r="A343" s="19">
        <v>45160</v>
      </c>
      <c r="B343" s="1" t="s">
        <v>85</v>
      </c>
      <c r="C343" s="1" t="s">
        <v>337</v>
      </c>
      <c r="D343" s="5">
        <v>30</v>
      </c>
      <c r="E343" s="5">
        <v>-0.3</v>
      </c>
      <c r="F343" s="5">
        <v>-3.29</v>
      </c>
      <c r="G343" s="5">
        <v>0</v>
      </c>
      <c r="H343" s="5">
        <f t="shared" si="5"/>
        <v>26.41</v>
      </c>
    </row>
    <row r="344" spans="1:8" x14ac:dyDescent="0.45">
      <c r="A344" s="19">
        <v>45160</v>
      </c>
      <c r="B344" s="1" t="s">
        <v>85</v>
      </c>
      <c r="C344" s="1" t="s">
        <v>338</v>
      </c>
      <c r="D344" s="5">
        <v>29</v>
      </c>
      <c r="E344" s="5">
        <v>-0.3</v>
      </c>
      <c r="F344" s="5">
        <v>-3.2</v>
      </c>
      <c r="G344" s="5">
        <v>0</v>
      </c>
      <c r="H344" s="5">
        <f t="shared" si="5"/>
        <v>25.5</v>
      </c>
    </row>
    <row r="345" spans="1:8" x14ac:dyDescent="0.45">
      <c r="A345" s="19">
        <v>45160</v>
      </c>
      <c r="B345" s="1" t="s">
        <v>85</v>
      </c>
      <c r="C345" s="1" t="s">
        <v>339</v>
      </c>
      <c r="D345" s="5">
        <v>29</v>
      </c>
      <c r="E345" s="5">
        <v>-0.3</v>
      </c>
      <c r="F345" s="5">
        <v>-3.14</v>
      </c>
      <c r="G345" s="5">
        <v>0</v>
      </c>
      <c r="H345" s="5">
        <f t="shared" si="5"/>
        <v>25.56</v>
      </c>
    </row>
    <row r="346" spans="1:8" x14ac:dyDescent="0.45">
      <c r="A346" s="19">
        <v>45161</v>
      </c>
      <c r="B346" s="1" t="s">
        <v>85</v>
      </c>
      <c r="C346" s="1" t="s">
        <v>340</v>
      </c>
      <c r="D346" s="5">
        <v>29</v>
      </c>
      <c r="E346" s="5">
        <v>-0.3</v>
      </c>
      <c r="F346" s="5">
        <v>-3.14</v>
      </c>
      <c r="G346" s="5">
        <v>0</v>
      </c>
      <c r="H346" s="5">
        <f t="shared" si="5"/>
        <v>25.56</v>
      </c>
    </row>
    <row r="347" spans="1:8" x14ac:dyDescent="0.45">
      <c r="A347" s="19">
        <v>45161</v>
      </c>
      <c r="B347" s="1" t="s">
        <v>85</v>
      </c>
      <c r="C347" s="1" t="s">
        <v>341</v>
      </c>
      <c r="D347" s="5">
        <v>8</v>
      </c>
      <c r="E347" s="5">
        <v>-0.3</v>
      </c>
      <c r="F347" s="5">
        <v>-0.91</v>
      </c>
      <c r="G347" s="5">
        <v>0</v>
      </c>
      <c r="H347" s="5">
        <f t="shared" si="5"/>
        <v>6.79</v>
      </c>
    </row>
    <row r="348" spans="1:8" x14ac:dyDescent="0.45">
      <c r="A348" s="19">
        <v>45161</v>
      </c>
      <c r="B348" s="1" t="s">
        <v>85</v>
      </c>
      <c r="C348" s="1" t="s">
        <v>342</v>
      </c>
      <c r="D348" s="5">
        <v>20</v>
      </c>
      <c r="E348" s="5">
        <v>-0.3</v>
      </c>
      <c r="F348" s="5">
        <v>-2.04</v>
      </c>
      <c r="G348" s="5">
        <v>0</v>
      </c>
      <c r="H348" s="5">
        <f t="shared" si="5"/>
        <v>17.66</v>
      </c>
    </row>
    <row r="349" spans="1:8" x14ac:dyDescent="0.45">
      <c r="A349" s="19">
        <v>45162</v>
      </c>
      <c r="B349" s="1" t="s">
        <v>85</v>
      </c>
      <c r="C349" s="1" t="s">
        <v>343</v>
      </c>
      <c r="D349" s="5">
        <v>29</v>
      </c>
      <c r="E349" s="5">
        <v>-0.3</v>
      </c>
      <c r="F349" s="5">
        <v>-3.13</v>
      </c>
      <c r="G349" s="5">
        <v>0</v>
      </c>
      <c r="H349" s="5">
        <f t="shared" si="5"/>
        <v>25.57</v>
      </c>
    </row>
    <row r="350" spans="1:8" x14ac:dyDescent="0.45">
      <c r="A350" s="19">
        <v>45163</v>
      </c>
      <c r="B350" s="1" t="s">
        <v>85</v>
      </c>
      <c r="C350" s="1" t="s">
        <v>344</v>
      </c>
      <c r="D350" s="5">
        <v>45</v>
      </c>
      <c r="E350" s="5">
        <v>-0.3</v>
      </c>
      <c r="F350" s="5">
        <v>-4.9400000000000004</v>
      </c>
      <c r="G350" s="5">
        <v>0</v>
      </c>
      <c r="H350" s="5">
        <f t="shared" si="5"/>
        <v>39.760000000000005</v>
      </c>
    </row>
    <row r="351" spans="1:8" x14ac:dyDescent="0.45">
      <c r="A351" s="19">
        <v>45163</v>
      </c>
      <c r="B351" s="1" t="s">
        <v>85</v>
      </c>
      <c r="C351" s="1" t="s">
        <v>345</v>
      </c>
      <c r="D351" s="5">
        <v>79</v>
      </c>
      <c r="E351" s="5">
        <v>-0.3</v>
      </c>
      <c r="F351" s="5">
        <v>-8.6300000000000008</v>
      </c>
      <c r="G351" s="5">
        <v>0</v>
      </c>
      <c r="H351" s="5">
        <f t="shared" si="5"/>
        <v>70.070000000000007</v>
      </c>
    </row>
    <row r="352" spans="1:8" x14ac:dyDescent="0.45">
      <c r="A352" s="19">
        <v>45163</v>
      </c>
      <c r="B352" s="1" t="s">
        <v>85</v>
      </c>
      <c r="C352" s="1" t="s">
        <v>346</v>
      </c>
      <c r="D352" s="5">
        <v>79</v>
      </c>
      <c r="E352" s="5">
        <v>-0.3</v>
      </c>
      <c r="F352" s="5">
        <v>-8.6300000000000008</v>
      </c>
      <c r="G352" s="5">
        <v>0</v>
      </c>
      <c r="H352" s="5">
        <f t="shared" si="5"/>
        <v>70.070000000000007</v>
      </c>
    </row>
    <row r="353" spans="1:8" x14ac:dyDescent="0.45">
      <c r="A353" s="19">
        <v>45163</v>
      </c>
      <c r="B353" s="1" t="s">
        <v>85</v>
      </c>
      <c r="C353" s="1" t="s">
        <v>347</v>
      </c>
      <c r="D353" s="5">
        <v>100</v>
      </c>
      <c r="E353" s="5">
        <v>-0.3</v>
      </c>
      <c r="F353" s="5">
        <v>-10.86</v>
      </c>
      <c r="G353" s="5">
        <v>0</v>
      </c>
      <c r="H353" s="5">
        <f t="shared" si="5"/>
        <v>88.84</v>
      </c>
    </row>
    <row r="354" spans="1:8" x14ac:dyDescent="0.45">
      <c r="A354" s="19">
        <v>45165</v>
      </c>
      <c r="B354" s="1" t="s">
        <v>85</v>
      </c>
      <c r="C354" s="1" t="s">
        <v>348</v>
      </c>
      <c r="D354" s="5">
        <v>39</v>
      </c>
      <c r="E354" s="5">
        <v>-0.3</v>
      </c>
      <c r="F354" s="5">
        <v>-4.2699999999999996</v>
      </c>
      <c r="G354" s="5">
        <v>0</v>
      </c>
      <c r="H354" s="5">
        <f t="shared" si="5"/>
        <v>34.430000000000007</v>
      </c>
    </row>
    <row r="355" spans="1:8" x14ac:dyDescent="0.45">
      <c r="A355" s="19">
        <v>45165</v>
      </c>
      <c r="B355" s="1" t="s">
        <v>85</v>
      </c>
      <c r="C355" s="1" t="s">
        <v>349</v>
      </c>
      <c r="D355" s="5">
        <v>299</v>
      </c>
      <c r="E355" s="5">
        <v>-0.3</v>
      </c>
      <c r="F355" s="5">
        <v>-32.56</v>
      </c>
      <c r="G355" s="5">
        <v>0</v>
      </c>
      <c r="H355" s="5">
        <f t="shared" si="5"/>
        <v>266.14</v>
      </c>
    </row>
    <row r="356" spans="1:8" x14ac:dyDescent="0.45">
      <c r="A356" s="19">
        <v>45165</v>
      </c>
      <c r="B356" s="1" t="s">
        <v>85</v>
      </c>
      <c r="C356" s="1" t="s">
        <v>350</v>
      </c>
      <c r="D356" s="5">
        <v>29</v>
      </c>
      <c r="E356" s="5">
        <v>-0.3</v>
      </c>
      <c r="F356" s="5">
        <v>-3.17</v>
      </c>
      <c r="G356" s="5">
        <v>0</v>
      </c>
      <c r="H356" s="5">
        <f t="shared" si="5"/>
        <v>25.53</v>
      </c>
    </row>
    <row r="357" spans="1:8" x14ac:dyDescent="0.45">
      <c r="A357" s="19">
        <v>45165</v>
      </c>
      <c r="B357" s="1" t="s">
        <v>85</v>
      </c>
      <c r="C357" s="1" t="s">
        <v>351</v>
      </c>
      <c r="D357" s="5">
        <v>49</v>
      </c>
      <c r="E357" s="5">
        <v>-0.3</v>
      </c>
      <c r="F357" s="5">
        <v>-5.28</v>
      </c>
      <c r="G357" s="5">
        <v>0</v>
      </c>
      <c r="H357" s="5">
        <f t="shared" si="5"/>
        <v>43.42</v>
      </c>
    </row>
    <row r="358" spans="1:8" x14ac:dyDescent="0.45">
      <c r="A358" s="19">
        <v>45165</v>
      </c>
      <c r="B358" s="1" t="s">
        <v>85</v>
      </c>
      <c r="C358" s="1" t="s">
        <v>352</v>
      </c>
      <c r="D358" s="5">
        <v>29</v>
      </c>
      <c r="E358" s="5">
        <v>-0.3</v>
      </c>
      <c r="F358" s="5">
        <v>-3.17</v>
      </c>
      <c r="G358" s="5">
        <v>0</v>
      </c>
      <c r="H358" s="5">
        <f t="shared" si="5"/>
        <v>25.53</v>
      </c>
    </row>
    <row r="359" spans="1:8" x14ac:dyDescent="0.45">
      <c r="A359" s="19">
        <v>45166</v>
      </c>
      <c r="B359" s="1" t="s">
        <v>85</v>
      </c>
      <c r="C359" s="1" t="s">
        <v>353</v>
      </c>
      <c r="D359" s="5">
        <v>119</v>
      </c>
      <c r="E359" s="5">
        <v>-0.3</v>
      </c>
      <c r="F359" s="5">
        <v>-13.05</v>
      </c>
      <c r="G359" s="5">
        <v>0</v>
      </c>
      <c r="H359" s="5">
        <f t="shared" si="5"/>
        <v>105.65</v>
      </c>
    </row>
    <row r="360" spans="1:8" x14ac:dyDescent="0.45">
      <c r="A360" s="19">
        <v>45166</v>
      </c>
      <c r="B360" s="1" t="s">
        <v>85</v>
      </c>
      <c r="C360" s="1" t="s">
        <v>354</v>
      </c>
      <c r="D360" s="5">
        <v>19</v>
      </c>
      <c r="E360" s="5">
        <v>-0.3</v>
      </c>
      <c r="F360" s="5">
        <v>-2.08</v>
      </c>
      <c r="G360" s="5">
        <v>0</v>
      </c>
      <c r="H360" s="5">
        <f t="shared" si="5"/>
        <v>16.619999999999997</v>
      </c>
    </row>
    <row r="361" spans="1:8" x14ac:dyDescent="0.45">
      <c r="A361" s="19">
        <v>45166</v>
      </c>
      <c r="B361" s="1" t="s">
        <v>85</v>
      </c>
      <c r="C361" s="1" t="s">
        <v>355</v>
      </c>
      <c r="D361" s="5">
        <v>79</v>
      </c>
      <c r="E361" s="5">
        <v>-0.3</v>
      </c>
      <c r="F361" s="5">
        <v>-8.7200000000000006</v>
      </c>
      <c r="G361" s="5">
        <v>0</v>
      </c>
      <c r="H361" s="5">
        <f t="shared" si="5"/>
        <v>69.98</v>
      </c>
    </row>
    <row r="362" spans="1:8" x14ac:dyDescent="0.45">
      <c r="A362" s="19">
        <v>45168</v>
      </c>
      <c r="B362" s="1" t="s">
        <v>85</v>
      </c>
      <c r="C362" s="1" t="s">
        <v>356</v>
      </c>
      <c r="D362" s="5">
        <v>29</v>
      </c>
      <c r="E362" s="5">
        <v>-0.3</v>
      </c>
      <c r="F362" s="5">
        <v>-3.17</v>
      </c>
      <c r="G362" s="5">
        <v>0</v>
      </c>
      <c r="H362" s="5">
        <f t="shared" si="5"/>
        <v>25.53</v>
      </c>
    </row>
    <row r="363" spans="1:8" x14ac:dyDescent="0.45">
      <c r="A363" s="19">
        <v>45169</v>
      </c>
      <c r="B363" s="1" t="s">
        <v>85</v>
      </c>
      <c r="C363" s="1" t="s">
        <v>357</v>
      </c>
      <c r="D363" s="5">
        <v>20</v>
      </c>
      <c r="E363" s="5">
        <v>-0.3</v>
      </c>
      <c r="F363" s="5">
        <v>-2.17</v>
      </c>
      <c r="G363" s="5">
        <v>0</v>
      </c>
      <c r="H363" s="5">
        <f t="shared" si="5"/>
        <v>17.53</v>
      </c>
    </row>
    <row r="364" spans="1:8" x14ac:dyDescent="0.45">
      <c r="A364" s="19">
        <v>45169</v>
      </c>
      <c r="B364" s="1" t="s">
        <v>85</v>
      </c>
      <c r="C364" s="1" t="s">
        <v>358</v>
      </c>
      <c r="D364" s="5">
        <v>29</v>
      </c>
      <c r="E364" s="5">
        <v>-0.3</v>
      </c>
      <c r="F364" s="5">
        <v>-3.17</v>
      </c>
      <c r="G364" s="5">
        <v>0</v>
      </c>
      <c r="H364" s="5">
        <f t="shared" si="5"/>
        <v>25.53</v>
      </c>
    </row>
    <row r="365" spans="1:8" x14ac:dyDescent="0.45">
      <c r="A365" s="19">
        <v>45169</v>
      </c>
      <c r="B365" s="1" t="s">
        <v>85</v>
      </c>
      <c r="C365" s="1" t="s">
        <v>359</v>
      </c>
      <c r="D365" s="5">
        <v>39</v>
      </c>
      <c r="E365" s="5">
        <v>-0.3</v>
      </c>
      <c r="F365" s="5">
        <v>-4.3099999999999996</v>
      </c>
      <c r="G365" s="5">
        <v>0</v>
      </c>
      <c r="H365" s="5">
        <f t="shared" si="5"/>
        <v>34.39</v>
      </c>
    </row>
    <row r="366" spans="1:8" x14ac:dyDescent="0.45">
      <c r="A366" s="19">
        <v>45170</v>
      </c>
      <c r="B366" s="1" t="s">
        <v>85</v>
      </c>
      <c r="C366" s="1" t="s">
        <v>360</v>
      </c>
      <c r="D366" s="5">
        <v>30</v>
      </c>
      <c r="E366" s="5">
        <v>-0.3</v>
      </c>
      <c r="F366" s="5">
        <v>-3.25</v>
      </c>
      <c r="G366" s="5">
        <v>0</v>
      </c>
      <c r="H366" s="5">
        <f t="shared" si="5"/>
        <v>26.45</v>
      </c>
    </row>
    <row r="367" spans="1:8" x14ac:dyDescent="0.45">
      <c r="A367" s="19">
        <v>45170</v>
      </c>
      <c r="B367" s="1" t="s">
        <v>85</v>
      </c>
      <c r="C367" s="1" t="s">
        <v>361</v>
      </c>
      <c r="D367" s="5">
        <v>99</v>
      </c>
      <c r="E367" s="5">
        <v>-0.3</v>
      </c>
      <c r="F367" s="5">
        <v>-10.96</v>
      </c>
      <c r="G367" s="5">
        <v>0</v>
      </c>
      <c r="H367" s="5">
        <f t="shared" si="5"/>
        <v>87.740000000000009</v>
      </c>
    </row>
    <row r="368" spans="1:8" x14ac:dyDescent="0.45">
      <c r="A368" s="19">
        <v>45171</v>
      </c>
      <c r="B368" s="1" t="s">
        <v>85</v>
      </c>
      <c r="C368" s="1" t="s">
        <v>362</v>
      </c>
      <c r="D368" s="5">
        <v>69</v>
      </c>
      <c r="E368" s="5">
        <v>-0.3</v>
      </c>
      <c r="F368" s="5">
        <v>-7.47</v>
      </c>
      <c r="G368" s="5">
        <v>0</v>
      </c>
      <c r="H368" s="5">
        <f t="shared" si="5"/>
        <v>61.230000000000004</v>
      </c>
    </row>
    <row r="369" spans="1:8" x14ac:dyDescent="0.45">
      <c r="A369" s="19">
        <v>45172</v>
      </c>
      <c r="B369" s="1" t="s">
        <v>85</v>
      </c>
      <c r="C369" s="1" t="s">
        <v>363</v>
      </c>
      <c r="D369" s="5">
        <v>49</v>
      </c>
      <c r="E369" s="5">
        <v>-0.3</v>
      </c>
      <c r="F369" s="5">
        <v>-5.33</v>
      </c>
      <c r="G369" s="5">
        <v>0</v>
      </c>
      <c r="H369" s="5">
        <f t="shared" si="5"/>
        <v>43.370000000000005</v>
      </c>
    </row>
    <row r="370" spans="1:8" x14ac:dyDescent="0.45">
      <c r="A370" s="19">
        <v>45172</v>
      </c>
      <c r="B370" s="1" t="s">
        <v>85</v>
      </c>
      <c r="C370" s="1" t="s">
        <v>364</v>
      </c>
      <c r="D370" s="5">
        <v>40</v>
      </c>
      <c r="E370" s="5">
        <v>-0.3</v>
      </c>
      <c r="F370" s="5">
        <v>-4.33</v>
      </c>
      <c r="G370" s="5">
        <v>0</v>
      </c>
      <c r="H370" s="5">
        <f t="shared" si="5"/>
        <v>35.370000000000005</v>
      </c>
    </row>
    <row r="371" spans="1:8" x14ac:dyDescent="0.45">
      <c r="A371" s="19">
        <v>45173</v>
      </c>
      <c r="B371" s="1" t="s">
        <v>85</v>
      </c>
      <c r="C371" s="1" t="s">
        <v>365</v>
      </c>
      <c r="D371" s="5">
        <v>70</v>
      </c>
      <c r="E371" s="5">
        <v>-0.3</v>
      </c>
      <c r="F371" s="5">
        <v>-7.67</v>
      </c>
      <c r="G371" s="5">
        <v>0</v>
      </c>
      <c r="H371" s="5">
        <f t="shared" si="5"/>
        <v>62.03</v>
      </c>
    </row>
    <row r="372" spans="1:8" x14ac:dyDescent="0.45">
      <c r="A372" s="19">
        <v>45173</v>
      </c>
      <c r="B372" s="1" t="s">
        <v>85</v>
      </c>
      <c r="C372" s="1" t="s">
        <v>366</v>
      </c>
      <c r="D372" s="5">
        <v>19</v>
      </c>
      <c r="E372" s="5">
        <v>-0.3</v>
      </c>
      <c r="F372" s="5">
        <v>-2.09</v>
      </c>
      <c r="G372" s="5">
        <v>0</v>
      </c>
      <c r="H372" s="5">
        <f t="shared" si="5"/>
        <v>16.61</v>
      </c>
    </row>
    <row r="373" spans="1:8" x14ac:dyDescent="0.45">
      <c r="A373" s="19">
        <v>45174</v>
      </c>
      <c r="B373" s="1" t="s">
        <v>85</v>
      </c>
      <c r="C373" s="1" t="s">
        <v>367</v>
      </c>
      <c r="D373" s="5">
        <v>19</v>
      </c>
      <c r="E373" s="5">
        <v>-0.3</v>
      </c>
      <c r="F373" s="5">
        <v>-2.06</v>
      </c>
      <c r="G373" s="5">
        <v>0</v>
      </c>
      <c r="H373" s="5">
        <f t="shared" si="5"/>
        <v>16.64</v>
      </c>
    </row>
    <row r="374" spans="1:8" x14ac:dyDescent="0.45">
      <c r="A374" s="19">
        <v>45174</v>
      </c>
      <c r="B374" s="1" t="s">
        <v>91</v>
      </c>
      <c r="C374" s="1" t="s">
        <v>362</v>
      </c>
      <c r="D374" s="5">
        <v>0</v>
      </c>
      <c r="E374" s="5">
        <v>0</v>
      </c>
      <c r="F374" s="5">
        <v>0</v>
      </c>
      <c r="G374" s="5">
        <v>-61.23</v>
      </c>
      <c r="H374" s="5">
        <f t="shared" si="5"/>
        <v>0</v>
      </c>
    </row>
    <row r="375" spans="1:8" x14ac:dyDescent="0.45">
      <c r="A375" s="19">
        <v>45174</v>
      </c>
      <c r="B375" s="1" t="s">
        <v>85</v>
      </c>
      <c r="C375" s="1" t="s">
        <v>368</v>
      </c>
      <c r="D375" s="5">
        <v>25</v>
      </c>
      <c r="E375" s="5">
        <v>-0.3</v>
      </c>
      <c r="F375" s="5">
        <v>-2.78</v>
      </c>
      <c r="G375" s="5">
        <v>0</v>
      </c>
      <c r="H375" s="5">
        <f t="shared" si="5"/>
        <v>21.919999999999998</v>
      </c>
    </row>
    <row r="376" spans="1:8" x14ac:dyDescent="0.45">
      <c r="A376" s="19">
        <v>45175</v>
      </c>
      <c r="B376" s="1" t="s">
        <v>85</v>
      </c>
      <c r="C376" s="1" t="s">
        <v>369</v>
      </c>
      <c r="D376" s="5">
        <v>19</v>
      </c>
      <c r="E376" s="5">
        <v>-0.3</v>
      </c>
      <c r="F376" s="5">
        <v>-2.08</v>
      </c>
      <c r="G376" s="5">
        <v>0</v>
      </c>
      <c r="H376" s="5">
        <f t="shared" si="5"/>
        <v>16.619999999999997</v>
      </c>
    </row>
    <row r="377" spans="1:8" x14ac:dyDescent="0.45">
      <c r="A377" s="19">
        <v>45176</v>
      </c>
      <c r="B377" s="1" t="s">
        <v>85</v>
      </c>
      <c r="C377" s="1" t="s">
        <v>370</v>
      </c>
      <c r="D377" s="5">
        <v>400</v>
      </c>
      <c r="E377" s="5">
        <v>-0.3</v>
      </c>
      <c r="F377" s="5">
        <v>-53.07</v>
      </c>
      <c r="G377" s="5">
        <v>0</v>
      </c>
      <c r="H377" s="5">
        <f t="shared" si="5"/>
        <v>346.63</v>
      </c>
    </row>
    <row r="378" spans="1:8" x14ac:dyDescent="0.45">
      <c r="A378" s="19">
        <v>45176</v>
      </c>
      <c r="B378" s="1" t="s">
        <v>85</v>
      </c>
      <c r="C378" s="1" t="s">
        <v>371</v>
      </c>
      <c r="D378" s="5">
        <v>38</v>
      </c>
      <c r="E378" s="5">
        <v>-0.3</v>
      </c>
      <c r="F378" s="5">
        <v>-3.88</v>
      </c>
      <c r="G378" s="5">
        <v>0</v>
      </c>
      <c r="H378" s="5">
        <f t="shared" si="5"/>
        <v>33.82</v>
      </c>
    </row>
    <row r="379" spans="1:8" x14ac:dyDescent="0.45">
      <c r="A379" s="19">
        <v>45177</v>
      </c>
      <c r="B379" s="1" t="s">
        <v>85</v>
      </c>
      <c r="C379" s="1" t="s">
        <v>372</v>
      </c>
      <c r="D379" s="5">
        <v>39</v>
      </c>
      <c r="E379" s="5">
        <v>-0.3</v>
      </c>
      <c r="F379" s="5">
        <v>-4.28</v>
      </c>
      <c r="G379" s="5">
        <v>0</v>
      </c>
      <c r="H379" s="5">
        <f t="shared" si="5"/>
        <v>34.42</v>
      </c>
    </row>
    <row r="380" spans="1:8" x14ac:dyDescent="0.45">
      <c r="A380" s="19">
        <v>45177</v>
      </c>
      <c r="B380" s="1" t="s">
        <v>85</v>
      </c>
      <c r="C380" s="1" t="s">
        <v>373</v>
      </c>
      <c r="D380" s="5">
        <v>39</v>
      </c>
      <c r="E380" s="5">
        <v>-0.3</v>
      </c>
      <c r="F380" s="5">
        <v>-4.28</v>
      </c>
      <c r="G380" s="5">
        <v>0</v>
      </c>
      <c r="H380" s="5">
        <f t="shared" si="5"/>
        <v>34.42</v>
      </c>
    </row>
    <row r="381" spans="1:8" x14ac:dyDescent="0.45">
      <c r="A381" s="19">
        <v>45178</v>
      </c>
      <c r="B381" s="1" t="s">
        <v>85</v>
      </c>
      <c r="C381" s="1" t="s">
        <v>374</v>
      </c>
      <c r="D381" s="5">
        <v>59</v>
      </c>
      <c r="E381" s="5">
        <v>-0.3</v>
      </c>
      <c r="F381" s="5">
        <v>-6.42</v>
      </c>
      <c r="G381" s="5">
        <v>0</v>
      </c>
      <c r="H381" s="5">
        <f t="shared" si="5"/>
        <v>52.28</v>
      </c>
    </row>
    <row r="382" spans="1:8" x14ac:dyDescent="0.45">
      <c r="A382" s="19">
        <v>45179</v>
      </c>
      <c r="B382" s="1" t="s">
        <v>85</v>
      </c>
      <c r="C382" s="1" t="s">
        <v>375</v>
      </c>
      <c r="D382" s="5">
        <v>29</v>
      </c>
      <c r="E382" s="5">
        <v>-0.3</v>
      </c>
      <c r="F382" s="5">
        <v>-3.14</v>
      </c>
      <c r="G382" s="5">
        <v>0</v>
      </c>
      <c r="H382" s="5">
        <f t="shared" si="5"/>
        <v>25.56</v>
      </c>
    </row>
    <row r="383" spans="1:8" x14ac:dyDescent="0.45">
      <c r="A383" s="19">
        <v>45180</v>
      </c>
      <c r="B383" s="1" t="s">
        <v>85</v>
      </c>
      <c r="C383" s="1" t="s">
        <v>376</v>
      </c>
      <c r="D383" s="5">
        <v>39</v>
      </c>
      <c r="E383" s="5">
        <v>-0.3</v>
      </c>
      <c r="F383" s="5">
        <v>-4.18</v>
      </c>
      <c r="G383" s="5">
        <v>0</v>
      </c>
      <c r="H383" s="5">
        <f t="shared" si="5"/>
        <v>34.520000000000003</v>
      </c>
    </row>
    <row r="384" spans="1:8" x14ac:dyDescent="0.45">
      <c r="A384" s="19">
        <v>45180</v>
      </c>
      <c r="B384" s="1" t="s">
        <v>85</v>
      </c>
      <c r="C384" s="1" t="s">
        <v>377</v>
      </c>
      <c r="D384" s="5">
        <v>30</v>
      </c>
      <c r="E384" s="5">
        <v>-0.3</v>
      </c>
      <c r="F384" s="5">
        <v>-3.25</v>
      </c>
      <c r="G384" s="5">
        <v>0</v>
      </c>
      <c r="H384" s="5">
        <f t="shared" si="5"/>
        <v>26.45</v>
      </c>
    </row>
    <row r="385" spans="1:8" x14ac:dyDescent="0.45">
      <c r="A385" s="19">
        <v>45181</v>
      </c>
      <c r="B385" s="1" t="s">
        <v>85</v>
      </c>
      <c r="C385" s="1" t="s">
        <v>378</v>
      </c>
      <c r="D385" s="5">
        <v>39</v>
      </c>
      <c r="E385" s="5">
        <v>-0.3</v>
      </c>
      <c r="F385" s="5">
        <v>-4.26</v>
      </c>
      <c r="G385" s="5">
        <v>0</v>
      </c>
      <c r="H385" s="5">
        <f t="shared" si="5"/>
        <v>34.440000000000005</v>
      </c>
    </row>
    <row r="386" spans="1:8" x14ac:dyDescent="0.45">
      <c r="A386" s="19">
        <v>45182</v>
      </c>
      <c r="B386" s="1" t="s">
        <v>91</v>
      </c>
      <c r="C386" s="1" t="s">
        <v>371</v>
      </c>
      <c r="D386" s="5">
        <v>0</v>
      </c>
      <c r="E386" s="5">
        <v>0</v>
      </c>
      <c r="F386" s="5">
        <v>0</v>
      </c>
      <c r="G386" s="5">
        <v>-34.119999999999997</v>
      </c>
      <c r="H386" s="5">
        <f t="shared" si="5"/>
        <v>0</v>
      </c>
    </row>
    <row r="387" spans="1:8" x14ac:dyDescent="0.45">
      <c r="A387" s="19">
        <v>45183</v>
      </c>
      <c r="B387" s="1" t="s">
        <v>85</v>
      </c>
      <c r="C387" s="1" t="s">
        <v>379</v>
      </c>
      <c r="D387" s="5">
        <v>59</v>
      </c>
      <c r="E387" s="5">
        <v>-0.3</v>
      </c>
      <c r="F387" s="5">
        <v>-7.72</v>
      </c>
      <c r="G387" s="5">
        <v>0</v>
      </c>
      <c r="H387" s="5">
        <f t="shared" ref="H387:H450" si="6">D387+E387+F387</f>
        <v>50.980000000000004</v>
      </c>
    </row>
    <row r="388" spans="1:8" x14ac:dyDescent="0.45">
      <c r="A388" s="19">
        <v>45184</v>
      </c>
      <c r="B388" s="1" t="s">
        <v>85</v>
      </c>
      <c r="C388" s="1" t="s">
        <v>380</v>
      </c>
      <c r="D388" s="5">
        <v>22</v>
      </c>
      <c r="E388" s="5">
        <v>-0.3</v>
      </c>
      <c r="F388" s="5">
        <v>-2.42</v>
      </c>
      <c r="G388" s="5">
        <v>0</v>
      </c>
      <c r="H388" s="5">
        <f t="shared" si="6"/>
        <v>19.28</v>
      </c>
    </row>
    <row r="389" spans="1:8" x14ac:dyDescent="0.45">
      <c r="A389" s="19">
        <v>45184</v>
      </c>
      <c r="B389" s="1" t="s">
        <v>85</v>
      </c>
      <c r="C389" s="1" t="s">
        <v>381</v>
      </c>
      <c r="D389" s="5">
        <v>29</v>
      </c>
      <c r="E389" s="5">
        <v>-0.3</v>
      </c>
      <c r="F389" s="5">
        <v>-3.14</v>
      </c>
      <c r="G389" s="5">
        <v>0</v>
      </c>
      <c r="H389" s="5">
        <f t="shared" si="6"/>
        <v>25.56</v>
      </c>
    </row>
    <row r="390" spans="1:8" x14ac:dyDescent="0.45">
      <c r="A390" s="19">
        <v>45186</v>
      </c>
      <c r="B390" s="1" t="s">
        <v>85</v>
      </c>
      <c r="C390" s="1" t="s">
        <v>382</v>
      </c>
      <c r="D390" s="5">
        <v>39</v>
      </c>
      <c r="E390" s="5">
        <v>-0.3</v>
      </c>
      <c r="F390" s="5">
        <v>-4.3</v>
      </c>
      <c r="G390" s="5">
        <v>0</v>
      </c>
      <c r="H390" s="5">
        <f t="shared" si="6"/>
        <v>34.400000000000006</v>
      </c>
    </row>
    <row r="391" spans="1:8" x14ac:dyDescent="0.45">
      <c r="A391" s="19">
        <v>45186</v>
      </c>
      <c r="B391" s="1" t="s">
        <v>85</v>
      </c>
      <c r="C391" s="1" t="s">
        <v>383</v>
      </c>
      <c r="D391" s="5">
        <v>40</v>
      </c>
      <c r="E391" s="5">
        <v>-0.3</v>
      </c>
      <c r="F391" s="5">
        <v>-4.37</v>
      </c>
      <c r="G391" s="5">
        <v>0</v>
      </c>
      <c r="H391" s="5">
        <f t="shared" si="6"/>
        <v>35.330000000000005</v>
      </c>
    </row>
    <row r="392" spans="1:8" x14ac:dyDescent="0.45">
      <c r="A392" s="19">
        <v>45186</v>
      </c>
      <c r="B392" s="1" t="s">
        <v>85</v>
      </c>
      <c r="C392" s="1" t="s">
        <v>384</v>
      </c>
      <c r="D392" s="5">
        <v>29</v>
      </c>
      <c r="E392" s="5">
        <v>-0.3</v>
      </c>
      <c r="F392" s="5">
        <v>-3.24</v>
      </c>
      <c r="G392" s="5">
        <v>0</v>
      </c>
      <c r="H392" s="5">
        <f t="shared" si="6"/>
        <v>25.46</v>
      </c>
    </row>
    <row r="393" spans="1:8" x14ac:dyDescent="0.45">
      <c r="A393" s="19">
        <v>45186</v>
      </c>
      <c r="B393" s="1" t="s">
        <v>85</v>
      </c>
      <c r="C393" s="1" t="s">
        <v>385</v>
      </c>
      <c r="D393" s="5">
        <v>39</v>
      </c>
      <c r="E393" s="5">
        <v>-0.3</v>
      </c>
      <c r="F393" s="5">
        <v>-4.3</v>
      </c>
      <c r="G393" s="5">
        <v>0</v>
      </c>
      <c r="H393" s="5">
        <f t="shared" si="6"/>
        <v>34.400000000000006</v>
      </c>
    </row>
    <row r="394" spans="1:8" x14ac:dyDescent="0.45">
      <c r="A394" s="19">
        <v>45187</v>
      </c>
      <c r="B394" s="1" t="s">
        <v>85</v>
      </c>
      <c r="C394" s="1" t="s">
        <v>386</v>
      </c>
      <c r="D394" s="5">
        <v>129</v>
      </c>
      <c r="E394" s="5">
        <v>-0.3</v>
      </c>
      <c r="F394" s="5">
        <v>-13.97</v>
      </c>
      <c r="G394" s="5">
        <v>0</v>
      </c>
      <c r="H394" s="5">
        <f t="shared" si="6"/>
        <v>114.72999999999999</v>
      </c>
    </row>
    <row r="395" spans="1:8" x14ac:dyDescent="0.45">
      <c r="A395" s="19">
        <v>45188</v>
      </c>
      <c r="B395" s="1" t="s">
        <v>85</v>
      </c>
      <c r="C395" s="1" t="s">
        <v>387</v>
      </c>
      <c r="D395" s="5">
        <v>19</v>
      </c>
      <c r="E395" s="5">
        <v>-0.3</v>
      </c>
      <c r="F395" s="5">
        <v>-2.06</v>
      </c>
      <c r="G395" s="5">
        <v>0</v>
      </c>
      <c r="H395" s="5">
        <f t="shared" si="6"/>
        <v>16.64</v>
      </c>
    </row>
    <row r="396" spans="1:8" x14ac:dyDescent="0.45">
      <c r="A396" s="19">
        <v>45188</v>
      </c>
      <c r="B396" s="1" t="s">
        <v>85</v>
      </c>
      <c r="C396" s="1" t="s">
        <v>388</v>
      </c>
      <c r="D396" s="5">
        <v>39</v>
      </c>
      <c r="E396" s="5">
        <v>-0.3</v>
      </c>
      <c r="F396" s="5">
        <v>-4.26</v>
      </c>
      <c r="G396" s="5">
        <v>0</v>
      </c>
      <c r="H396" s="5">
        <f t="shared" si="6"/>
        <v>34.440000000000005</v>
      </c>
    </row>
    <row r="397" spans="1:8" x14ac:dyDescent="0.45">
      <c r="A397" s="19">
        <v>45189</v>
      </c>
      <c r="B397" s="1" t="s">
        <v>85</v>
      </c>
      <c r="C397" s="1" t="s">
        <v>389</v>
      </c>
      <c r="D397" s="5">
        <v>25</v>
      </c>
      <c r="E397" s="5">
        <v>-0.3</v>
      </c>
      <c r="F397" s="5">
        <v>-2.73</v>
      </c>
      <c r="G397" s="5">
        <v>0</v>
      </c>
      <c r="H397" s="5">
        <f t="shared" si="6"/>
        <v>21.97</v>
      </c>
    </row>
    <row r="398" spans="1:8" x14ac:dyDescent="0.45">
      <c r="A398" s="19">
        <v>45190</v>
      </c>
      <c r="B398" s="1" t="s">
        <v>85</v>
      </c>
      <c r="C398" s="1" t="s">
        <v>390</v>
      </c>
      <c r="D398" s="5">
        <v>39</v>
      </c>
      <c r="E398" s="5">
        <v>-0.3</v>
      </c>
      <c r="F398" s="5">
        <v>-4.2</v>
      </c>
      <c r="G398" s="5">
        <v>0</v>
      </c>
      <c r="H398" s="5">
        <f t="shared" si="6"/>
        <v>34.5</v>
      </c>
    </row>
    <row r="399" spans="1:8" x14ac:dyDescent="0.45">
      <c r="A399" s="19">
        <v>45190</v>
      </c>
      <c r="B399" s="1" t="s">
        <v>85</v>
      </c>
      <c r="C399" s="1" t="s">
        <v>391</v>
      </c>
      <c r="D399" s="5">
        <v>19</v>
      </c>
      <c r="E399" s="5">
        <v>-0.3</v>
      </c>
      <c r="F399" s="5">
        <v>-2.08</v>
      </c>
      <c r="G399" s="5">
        <v>0</v>
      </c>
      <c r="H399" s="5">
        <f t="shared" si="6"/>
        <v>16.619999999999997</v>
      </c>
    </row>
    <row r="400" spans="1:8" x14ac:dyDescent="0.45">
      <c r="A400" s="19">
        <v>45191</v>
      </c>
      <c r="B400" s="1" t="s">
        <v>85</v>
      </c>
      <c r="C400" s="1" t="s">
        <v>392</v>
      </c>
      <c r="D400" s="5">
        <v>75</v>
      </c>
      <c r="E400" s="5">
        <v>-0.3</v>
      </c>
      <c r="F400" s="5">
        <v>-8.2899999999999991</v>
      </c>
      <c r="G400" s="5">
        <v>0</v>
      </c>
      <c r="H400" s="5">
        <f t="shared" si="6"/>
        <v>66.41</v>
      </c>
    </row>
    <row r="401" spans="1:8" x14ac:dyDescent="0.45">
      <c r="A401" s="19">
        <v>45193</v>
      </c>
      <c r="B401" s="1" t="s">
        <v>85</v>
      </c>
      <c r="C401" s="1" t="s">
        <v>393</v>
      </c>
      <c r="D401" s="5">
        <v>40</v>
      </c>
      <c r="E401" s="5">
        <v>-0.3</v>
      </c>
      <c r="F401" s="5">
        <v>-4.41</v>
      </c>
      <c r="G401" s="5">
        <v>0</v>
      </c>
      <c r="H401" s="5">
        <f t="shared" si="6"/>
        <v>35.290000000000006</v>
      </c>
    </row>
    <row r="402" spans="1:8" x14ac:dyDescent="0.45">
      <c r="A402" s="19">
        <v>45193</v>
      </c>
      <c r="B402" s="1" t="s">
        <v>85</v>
      </c>
      <c r="C402" s="1" t="s">
        <v>394</v>
      </c>
      <c r="D402" s="5">
        <v>89</v>
      </c>
      <c r="E402" s="5">
        <v>-0.3</v>
      </c>
      <c r="F402" s="5">
        <v>-9.82</v>
      </c>
      <c r="G402" s="5">
        <v>0</v>
      </c>
      <c r="H402" s="5">
        <f t="shared" si="6"/>
        <v>78.88</v>
      </c>
    </row>
    <row r="403" spans="1:8" x14ac:dyDescent="0.45">
      <c r="A403" s="19">
        <v>45193</v>
      </c>
      <c r="B403" s="1" t="s">
        <v>85</v>
      </c>
      <c r="C403" s="1" t="s">
        <v>395</v>
      </c>
      <c r="D403" s="5">
        <v>60</v>
      </c>
      <c r="E403" s="5">
        <v>-0.3</v>
      </c>
      <c r="F403" s="5">
        <v>-5.72</v>
      </c>
      <c r="G403" s="5">
        <v>0</v>
      </c>
      <c r="H403" s="5">
        <f t="shared" si="6"/>
        <v>53.980000000000004</v>
      </c>
    </row>
    <row r="404" spans="1:8" x14ac:dyDescent="0.45">
      <c r="A404" s="19">
        <v>45193</v>
      </c>
      <c r="B404" s="1" t="s">
        <v>85</v>
      </c>
      <c r="C404" s="1" t="s">
        <v>396</v>
      </c>
      <c r="D404" s="5">
        <v>80</v>
      </c>
      <c r="E404" s="5">
        <v>-0.3</v>
      </c>
      <c r="F404" s="5">
        <v>-8.68</v>
      </c>
      <c r="G404" s="5">
        <v>0</v>
      </c>
      <c r="H404" s="5">
        <f t="shared" si="6"/>
        <v>71.02000000000001</v>
      </c>
    </row>
    <row r="405" spans="1:8" x14ac:dyDescent="0.45">
      <c r="A405" s="19">
        <v>45193</v>
      </c>
      <c r="B405" s="1" t="s">
        <v>85</v>
      </c>
      <c r="C405" s="1" t="s">
        <v>397</v>
      </c>
      <c r="D405" s="5">
        <v>39</v>
      </c>
      <c r="E405" s="5">
        <v>-0.3</v>
      </c>
      <c r="F405" s="5">
        <v>-4.3</v>
      </c>
      <c r="G405" s="5">
        <v>0</v>
      </c>
      <c r="H405" s="5">
        <f t="shared" si="6"/>
        <v>34.400000000000006</v>
      </c>
    </row>
    <row r="406" spans="1:8" x14ac:dyDescent="0.45">
      <c r="A406" s="19">
        <v>45194</v>
      </c>
      <c r="B406" s="1" t="s">
        <v>85</v>
      </c>
      <c r="C406" s="1" t="s">
        <v>362</v>
      </c>
      <c r="D406" s="5">
        <v>59</v>
      </c>
      <c r="E406" s="5">
        <v>-0.3</v>
      </c>
      <c r="F406" s="5">
        <v>-6.54</v>
      </c>
      <c r="G406" s="5">
        <v>0</v>
      </c>
      <c r="H406" s="5">
        <f t="shared" si="6"/>
        <v>52.160000000000004</v>
      </c>
    </row>
    <row r="407" spans="1:8" x14ac:dyDescent="0.45">
      <c r="A407" s="19">
        <v>45194</v>
      </c>
      <c r="B407" s="1" t="s">
        <v>85</v>
      </c>
      <c r="C407" s="1" t="s">
        <v>398</v>
      </c>
      <c r="D407" s="5">
        <v>49</v>
      </c>
      <c r="E407" s="5">
        <v>-0.3</v>
      </c>
      <c r="F407" s="5">
        <v>-5.49</v>
      </c>
      <c r="G407" s="5">
        <v>0</v>
      </c>
      <c r="H407" s="5">
        <f t="shared" si="6"/>
        <v>43.21</v>
      </c>
    </row>
    <row r="408" spans="1:8" x14ac:dyDescent="0.45">
      <c r="A408" s="19">
        <v>45195</v>
      </c>
      <c r="B408" s="1" t="s">
        <v>85</v>
      </c>
      <c r="C408" s="1" t="s">
        <v>399</v>
      </c>
      <c r="D408" s="5">
        <v>40</v>
      </c>
      <c r="E408" s="5">
        <v>-0.3</v>
      </c>
      <c r="F408" s="5">
        <v>-4.37</v>
      </c>
      <c r="G408" s="5">
        <v>0</v>
      </c>
      <c r="H408" s="5">
        <f t="shared" si="6"/>
        <v>35.330000000000005</v>
      </c>
    </row>
    <row r="409" spans="1:8" x14ac:dyDescent="0.45">
      <c r="A409" s="19">
        <v>45195</v>
      </c>
      <c r="B409" s="1" t="s">
        <v>85</v>
      </c>
      <c r="C409" s="1" t="s">
        <v>400</v>
      </c>
      <c r="D409" s="5">
        <v>12</v>
      </c>
      <c r="E409" s="5">
        <v>-0.3</v>
      </c>
      <c r="F409" s="5">
        <v>-1.33</v>
      </c>
      <c r="G409" s="5">
        <v>0</v>
      </c>
      <c r="H409" s="5">
        <f t="shared" si="6"/>
        <v>10.37</v>
      </c>
    </row>
    <row r="410" spans="1:8" x14ac:dyDescent="0.45">
      <c r="A410" s="19">
        <v>45197</v>
      </c>
      <c r="B410" s="1" t="s">
        <v>85</v>
      </c>
      <c r="C410" s="1" t="s">
        <v>401</v>
      </c>
      <c r="D410" s="5">
        <v>49</v>
      </c>
      <c r="E410" s="5">
        <v>-0.3</v>
      </c>
      <c r="F410" s="5">
        <v>-5.36</v>
      </c>
      <c r="G410" s="5">
        <v>0</v>
      </c>
      <c r="H410" s="5">
        <f t="shared" si="6"/>
        <v>43.34</v>
      </c>
    </row>
    <row r="411" spans="1:8" x14ac:dyDescent="0.45">
      <c r="A411" s="19">
        <v>45197</v>
      </c>
      <c r="B411" s="1" t="s">
        <v>85</v>
      </c>
      <c r="C411" s="1" t="s">
        <v>113</v>
      </c>
      <c r="D411" s="5">
        <v>14</v>
      </c>
      <c r="E411" s="5">
        <v>-0.3</v>
      </c>
      <c r="F411" s="5">
        <v>-1.52</v>
      </c>
      <c r="G411" s="5">
        <v>0</v>
      </c>
      <c r="H411" s="5">
        <f t="shared" si="6"/>
        <v>12.18</v>
      </c>
    </row>
    <row r="412" spans="1:8" x14ac:dyDescent="0.45">
      <c r="A412" s="19">
        <v>45199</v>
      </c>
      <c r="B412" s="1" t="s">
        <v>85</v>
      </c>
      <c r="C412" s="1" t="s">
        <v>402</v>
      </c>
      <c r="D412" s="5">
        <v>39</v>
      </c>
      <c r="E412" s="5">
        <v>-0.3</v>
      </c>
      <c r="F412" s="5">
        <v>-4.22</v>
      </c>
      <c r="G412" s="5">
        <v>0</v>
      </c>
      <c r="H412" s="5">
        <f t="shared" si="6"/>
        <v>34.480000000000004</v>
      </c>
    </row>
    <row r="413" spans="1:8" x14ac:dyDescent="0.45">
      <c r="A413" s="19">
        <v>45200</v>
      </c>
      <c r="B413" s="1" t="s">
        <v>85</v>
      </c>
      <c r="C413" s="1" t="s">
        <v>403</v>
      </c>
      <c r="D413" s="5">
        <v>59</v>
      </c>
      <c r="E413" s="5">
        <v>-0.3</v>
      </c>
      <c r="F413" s="5">
        <v>-6.32</v>
      </c>
      <c r="G413" s="5">
        <v>0</v>
      </c>
      <c r="H413" s="5">
        <f t="shared" si="6"/>
        <v>52.38</v>
      </c>
    </row>
    <row r="414" spans="1:8" x14ac:dyDescent="0.45">
      <c r="A414" s="19">
        <v>45200</v>
      </c>
      <c r="B414" s="1" t="s">
        <v>85</v>
      </c>
      <c r="C414" s="1" t="s">
        <v>404</v>
      </c>
      <c r="D414" s="5">
        <v>89</v>
      </c>
      <c r="E414" s="5">
        <v>-0.3</v>
      </c>
      <c r="F414" s="5">
        <v>-9.75</v>
      </c>
      <c r="G414" s="5">
        <v>0</v>
      </c>
      <c r="H414" s="5">
        <f t="shared" si="6"/>
        <v>78.95</v>
      </c>
    </row>
    <row r="415" spans="1:8" x14ac:dyDescent="0.45">
      <c r="A415" s="19">
        <v>45201</v>
      </c>
      <c r="B415" s="1" t="s">
        <v>85</v>
      </c>
      <c r="C415" s="1" t="s">
        <v>405</v>
      </c>
      <c r="D415" s="5">
        <v>19</v>
      </c>
      <c r="E415" s="5">
        <v>-0.3</v>
      </c>
      <c r="F415" s="5">
        <v>-2.06</v>
      </c>
      <c r="G415" s="5">
        <v>0</v>
      </c>
      <c r="H415" s="5">
        <f t="shared" si="6"/>
        <v>16.64</v>
      </c>
    </row>
    <row r="416" spans="1:8" x14ac:dyDescent="0.45">
      <c r="A416" s="19">
        <v>45201</v>
      </c>
      <c r="B416" s="1" t="s">
        <v>85</v>
      </c>
      <c r="C416" s="1" t="s">
        <v>406</v>
      </c>
      <c r="D416" s="5">
        <v>50</v>
      </c>
      <c r="E416" s="5">
        <v>-0.3</v>
      </c>
      <c r="F416" s="5">
        <v>-5.39</v>
      </c>
      <c r="G416" s="5">
        <v>0</v>
      </c>
      <c r="H416" s="5">
        <f t="shared" si="6"/>
        <v>44.31</v>
      </c>
    </row>
    <row r="417" spans="1:8" x14ac:dyDescent="0.45">
      <c r="A417" s="19">
        <v>45202</v>
      </c>
      <c r="B417" s="1" t="s">
        <v>85</v>
      </c>
      <c r="C417" s="1" t="s">
        <v>407</v>
      </c>
      <c r="D417" s="5">
        <v>49</v>
      </c>
      <c r="E417" s="5">
        <v>-0.3</v>
      </c>
      <c r="F417" s="5">
        <v>-5.39</v>
      </c>
      <c r="G417" s="5">
        <v>0</v>
      </c>
      <c r="H417" s="5">
        <f t="shared" si="6"/>
        <v>43.31</v>
      </c>
    </row>
    <row r="418" spans="1:8" x14ac:dyDescent="0.45">
      <c r="A418" s="19">
        <v>45202</v>
      </c>
      <c r="B418" s="1" t="s">
        <v>85</v>
      </c>
      <c r="C418" s="1" t="s">
        <v>408</v>
      </c>
      <c r="D418" s="5">
        <v>40</v>
      </c>
      <c r="E418" s="5">
        <v>-0.3</v>
      </c>
      <c r="F418" s="5">
        <v>-4.33</v>
      </c>
      <c r="G418" s="5">
        <v>0</v>
      </c>
      <c r="H418" s="5">
        <f t="shared" si="6"/>
        <v>35.370000000000005</v>
      </c>
    </row>
    <row r="419" spans="1:8" x14ac:dyDescent="0.45">
      <c r="A419" s="19">
        <v>45202</v>
      </c>
      <c r="B419" s="1" t="s">
        <v>85</v>
      </c>
      <c r="C419" s="1" t="s">
        <v>409</v>
      </c>
      <c r="D419" s="5">
        <v>25</v>
      </c>
      <c r="E419" s="5">
        <v>-0.3</v>
      </c>
      <c r="F419" s="5">
        <v>-2.77</v>
      </c>
      <c r="G419" s="5">
        <v>0</v>
      </c>
      <c r="H419" s="5">
        <f t="shared" si="6"/>
        <v>21.93</v>
      </c>
    </row>
    <row r="420" spans="1:8" x14ac:dyDescent="0.45">
      <c r="A420" s="19">
        <v>45202</v>
      </c>
      <c r="B420" s="1" t="s">
        <v>85</v>
      </c>
      <c r="C420" s="1" t="s">
        <v>410</v>
      </c>
      <c r="D420" s="5">
        <v>30</v>
      </c>
      <c r="E420" s="5">
        <v>-0.3</v>
      </c>
      <c r="F420" s="5">
        <v>-3.06</v>
      </c>
      <c r="G420" s="5">
        <v>0</v>
      </c>
      <c r="H420" s="5">
        <f t="shared" si="6"/>
        <v>26.64</v>
      </c>
    </row>
    <row r="421" spans="1:8" x14ac:dyDescent="0.45">
      <c r="A421" s="19">
        <v>45203</v>
      </c>
      <c r="B421" s="1" t="s">
        <v>85</v>
      </c>
      <c r="C421" s="1" t="s">
        <v>320</v>
      </c>
      <c r="D421" s="5">
        <v>19</v>
      </c>
      <c r="E421" s="5">
        <v>-0.3</v>
      </c>
      <c r="F421" s="5">
        <v>-2.06</v>
      </c>
      <c r="G421" s="5">
        <v>0</v>
      </c>
      <c r="H421" s="5">
        <f t="shared" si="6"/>
        <v>16.64</v>
      </c>
    </row>
    <row r="422" spans="1:8" x14ac:dyDescent="0.45">
      <c r="A422" s="19">
        <v>45203</v>
      </c>
      <c r="B422" s="1" t="s">
        <v>85</v>
      </c>
      <c r="C422" s="1" t="s">
        <v>411</v>
      </c>
      <c r="D422" s="5">
        <v>240</v>
      </c>
      <c r="E422" s="5">
        <v>-0.3</v>
      </c>
      <c r="F422" s="5">
        <v>-26.29</v>
      </c>
      <c r="G422" s="5">
        <v>0</v>
      </c>
      <c r="H422" s="5">
        <f t="shared" si="6"/>
        <v>213.41</v>
      </c>
    </row>
    <row r="423" spans="1:8" x14ac:dyDescent="0.45">
      <c r="A423" s="19">
        <v>45204</v>
      </c>
      <c r="B423" s="1" t="s">
        <v>91</v>
      </c>
      <c r="C423" s="1" t="s">
        <v>412</v>
      </c>
      <c r="D423" s="5">
        <v>0</v>
      </c>
      <c r="E423" s="5">
        <v>0</v>
      </c>
      <c r="F423" s="5">
        <v>0</v>
      </c>
      <c r="G423" s="5">
        <v>-16.64</v>
      </c>
      <c r="H423" s="5">
        <f t="shared" si="6"/>
        <v>0</v>
      </c>
    </row>
    <row r="424" spans="1:8" x14ac:dyDescent="0.45">
      <c r="A424" s="19">
        <v>45204</v>
      </c>
      <c r="B424" s="1" t="s">
        <v>85</v>
      </c>
      <c r="C424" s="1" t="s">
        <v>412</v>
      </c>
      <c r="D424" s="5">
        <v>19</v>
      </c>
      <c r="E424" s="5">
        <v>-0.3</v>
      </c>
      <c r="F424" s="5">
        <v>-2.06</v>
      </c>
      <c r="G424" s="5">
        <v>0</v>
      </c>
      <c r="H424" s="5">
        <f t="shared" si="6"/>
        <v>16.64</v>
      </c>
    </row>
    <row r="425" spans="1:8" x14ac:dyDescent="0.45">
      <c r="A425" s="19">
        <v>45204</v>
      </c>
      <c r="B425" s="1" t="s">
        <v>85</v>
      </c>
      <c r="C425" s="1" t="s">
        <v>413</v>
      </c>
      <c r="D425" s="5">
        <v>39</v>
      </c>
      <c r="E425" s="5">
        <v>-0.3</v>
      </c>
      <c r="F425" s="5">
        <v>-4.22</v>
      </c>
      <c r="G425" s="5">
        <v>0</v>
      </c>
      <c r="H425" s="5">
        <f t="shared" si="6"/>
        <v>34.480000000000004</v>
      </c>
    </row>
    <row r="426" spans="1:8" x14ac:dyDescent="0.45">
      <c r="A426" s="19">
        <v>45205</v>
      </c>
      <c r="B426" s="1" t="s">
        <v>85</v>
      </c>
      <c r="C426" s="1" t="s">
        <v>412</v>
      </c>
      <c r="D426" s="5">
        <v>19</v>
      </c>
      <c r="E426" s="5">
        <v>-0.3</v>
      </c>
      <c r="F426" s="5">
        <v>-2.13</v>
      </c>
      <c r="G426" s="5">
        <v>0</v>
      </c>
      <c r="H426" s="5">
        <f t="shared" si="6"/>
        <v>16.57</v>
      </c>
    </row>
    <row r="427" spans="1:8" x14ac:dyDescent="0.45">
      <c r="A427" s="19">
        <v>45205</v>
      </c>
      <c r="B427" s="1" t="s">
        <v>85</v>
      </c>
      <c r="C427" s="1" t="s">
        <v>414</v>
      </c>
      <c r="D427" s="5">
        <v>65</v>
      </c>
      <c r="E427" s="5">
        <v>-0.3</v>
      </c>
      <c r="F427" s="5">
        <v>-7.15</v>
      </c>
      <c r="G427" s="5">
        <v>0</v>
      </c>
      <c r="H427" s="5">
        <f t="shared" si="6"/>
        <v>57.550000000000004</v>
      </c>
    </row>
    <row r="428" spans="1:8" x14ac:dyDescent="0.45">
      <c r="A428" s="19">
        <v>45206</v>
      </c>
      <c r="B428" s="1" t="s">
        <v>85</v>
      </c>
      <c r="C428" s="1" t="s">
        <v>415</v>
      </c>
      <c r="D428" s="5">
        <v>69</v>
      </c>
      <c r="E428" s="5">
        <v>-0.3</v>
      </c>
      <c r="F428" s="5">
        <v>-7.26</v>
      </c>
      <c r="G428" s="5">
        <v>0</v>
      </c>
      <c r="H428" s="5">
        <f t="shared" si="6"/>
        <v>61.440000000000005</v>
      </c>
    </row>
    <row r="429" spans="1:8" x14ac:dyDescent="0.45">
      <c r="A429" s="19">
        <v>45206</v>
      </c>
      <c r="B429" s="1" t="s">
        <v>85</v>
      </c>
      <c r="C429" s="1" t="s">
        <v>416</v>
      </c>
      <c r="D429" s="5">
        <v>99</v>
      </c>
      <c r="E429" s="5">
        <v>-0.3</v>
      </c>
      <c r="F429" s="5">
        <v>-10.86</v>
      </c>
      <c r="G429" s="5">
        <v>0</v>
      </c>
      <c r="H429" s="5">
        <f t="shared" si="6"/>
        <v>87.84</v>
      </c>
    </row>
    <row r="430" spans="1:8" x14ac:dyDescent="0.45">
      <c r="A430" s="19">
        <v>45206</v>
      </c>
      <c r="B430" s="1" t="s">
        <v>85</v>
      </c>
      <c r="C430" s="1" t="s">
        <v>417</v>
      </c>
      <c r="D430" s="5">
        <v>30</v>
      </c>
      <c r="E430" s="5">
        <v>-0.3</v>
      </c>
      <c r="F430" s="5">
        <v>-3.25</v>
      </c>
      <c r="G430" s="5">
        <v>0</v>
      </c>
      <c r="H430" s="5">
        <f t="shared" si="6"/>
        <v>26.45</v>
      </c>
    </row>
    <row r="431" spans="1:8" x14ac:dyDescent="0.45">
      <c r="A431" s="19">
        <v>45206</v>
      </c>
      <c r="B431" s="1" t="s">
        <v>85</v>
      </c>
      <c r="C431" s="1" t="s">
        <v>418</v>
      </c>
      <c r="D431" s="5">
        <v>39</v>
      </c>
      <c r="E431" s="5">
        <v>-0.3</v>
      </c>
      <c r="F431" s="5">
        <v>-4.26</v>
      </c>
      <c r="G431" s="5">
        <v>0</v>
      </c>
      <c r="H431" s="5">
        <f t="shared" si="6"/>
        <v>34.440000000000005</v>
      </c>
    </row>
    <row r="432" spans="1:8" x14ac:dyDescent="0.45">
      <c r="A432" s="19">
        <v>45207</v>
      </c>
      <c r="B432" s="1" t="s">
        <v>85</v>
      </c>
      <c r="C432" s="1" t="s">
        <v>419</v>
      </c>
      <c r="D432" s="5">
        <v>30</v>
      </c>
      <c r="E432" s="5">
        <v>-0.3</v>
      </c>
      <c r="F432" s="5">
        <v>-3.36</v>
      </c>
      <c r="G432" s="5">
        <v>0</v>
      </c>
      <c r="H432" s="5">
        <f t="shared" si="6"/>
        <v>26.34</v>
      </c>
    </row>
    <row r="433" spans="1:8" x14ac:dyDescent="0.45">
      <c r="A433" s="19">
        <v>45207</v>
      </c>
      <c r="B433" s="1" t="s">
        <v>85</v>
      </c>
      <c r="C433" s="1" t="s">
        <v>420</v>
      </c>
      <c r="D433" s="5">
        <v>19</v>
      </c>
      <c r="E433" s="5">
        <v>-0.3</v>
      </c>
      <c r="F433" s="5">
        <v>-2.08</v>
      </c>
      <c r="G433" s="5">
        <v>0</v>
      </c>
      <c r="H433" s="5">
        <f t="shared" si="6"/>
        <v>16.619999999999997</v>
      </c>
    </row>
    <row r="434" spans="1:8" x14ac:dyDescent="0.45">
      <c r="A434" s="19">
        <v>45208</v>
      </c>
      <c r="B434" s="1" t="s">
        <v>85</v>
      </c>
      <c r="C434" s="1" t="s">
        <v>421</v>
      </c>
      <c r="D434" s="5">
        <v>45</v>
      </c>
      <c r="E434" s="5">
        <v>-0.3</v>
      </c>
      <c r="F434" s="5">
        <v>-4.92</v>
      </c>
      <c r="G434" s="5">
        <v>0</v>
      </c>
      <c r="H434" s="5">
        <f t="shared" si="6"/>
        <v>39.78</v>
      </c>
    </row>
    <row r="435" spans="1:8" x14ac:dyDescent="0.45">
      <c r="A435" s="19">
        <v>45208</v>
      </c>
      <c r="B435" s="1" t="s">
        <v>85</v>
      </c>
      <c r="C435" s="1" t="s">
        <v>422</v>
      </c>
      <c r="D435" s="5">
        <v>59</v>
      </c>
      <c r="E435" s="5">
        <v>-0.3</v>
      </c>
      <c r="F435" s="5">
        <v>-6.39</v>
      </c>
      <c r="G435" s="5">
        <v>0</v>
      </c>
      <c r="H435" s="5">
        <f t="shared" si="6"/>
        <v>52.31</v>
      </c>
    </row>
    <row r="436" spans="1:8" x14ac:dyDescent="0.45">
      <c r="A436" s="19">
        <v>45209</v>
      </c>
      <c r="B436" s="1" t="s">
        <v>85</v>
      </c>
      <c r="C436" s="1" t="s">
        <v>353</v>
      </c>
      <c r="D436" s="5">
        <v>100</v>
      </c>
      <c r="E436" s="5">
        <v>-0.3</v>
      </c>
      <c r="F436" s="5">
        <v>-10.220000000000001</v>
      </c>
      <c r="G436" s="5">
        <v>0</v>
      </c>
      <c r="H436" s="5">
        <f t="shared" si="6"/>
        <v>89.48</v>
      </c>
    </row>
    <row r="437" spans="1:8" x14ac:dyDescent="0.45">
      <c r="A437" s="19">
        <v>45212</v>
      </c>
      <c r="B437" s="1" t="s">
        <v>85</v>
      </c>
      <c r="C437" s="1" t="s">
        <v>423</v>
      </c>
      <c r="D437" s="5">
        <v>29</v>
      </c>
      <c r="E437" s="5">
        <v>-0.3</v>
      </c>
      <c r="F437" s="5">
        <v>-3.13</v>
      </c>
      <c r="G437" s="5">
        <v>0</v>
      </c>
      <c r="H437" s="5">
        <f t="shared" si="6"/>
        <v>25.57</v>
      </c>
    </row>
    <row r="438" spans="1:8" x14ac:dyDescent="0.45">
      <c r="A438" s="19">
        <v>45212</v>
      </c>
      <c r="B438" s="1" t="s">
        <v>85</v>
      </c>
      <c r="C438" s="1" t="s">
        <v>424</v>
      </c>
      <c r="D438" s="5">
        <v>15</v>
      </c>
      <c r="E438" s="5">
        <v>-0.3</v>
      </c>
      <c r="F438" s="5">
        <v>-1.64</v>
      </c>
      <c r="G438" s="5">
        <v>0</v>
      </c>
      <c r="H438" s="5">
        <f t="shared" si="6"/>
        <v>13.059999999999999</v>
      </c>
    </row>
    <row r="439" spans="1:8" x14ac:dyDescent="0.45">
      <c r="A439" s="19">
        <v>45213</v>
      </c>
      <c r="B439" s="1" t="s">
        <v>85</v>
      </c>
      <c r="C439" s="1" t="s">
        <v>425</v>
      </c>
      <c r="D439" s="5">
        <v>119</v>
      </c>
      <c r="E439" s="5">
        <v>-0.3</v>
      </c>
      <c r="F439" s="5">
        <v>-13.01</v>
      </c>
      <c r="G439" s="5">
        <v>0</v>
      </c>
      <c r="H439" s="5">
        <f t="shared" si="6"/>
        <v>105.69</v>
      </c>
    </row>
    <row r="440" spans="1:8" x14ac:dyDescent="0.45">
      <c r="A440" s="19">
        <v>45213</v>
      </c>
      <c r="B440" s="1" t="s">
        <v>85</v>
      </c>
      <c r="C440" s="1" t="s">
        <v>426</v>
      </c>
      <c r="D440" s="5">
        <v>39</v>
      </c>
      <c r="E440" s="5">
        <v>-0.3</v>
      </c>
      <c r="F440" s="5">
        <v>-4.2699999999999996</v>
      </c>
      <c r="G440" s="5">
        <v>0</v>
      </c>
      <c r="H440" s="5">
        <f t="shared" si="6"/>
        <v>34.430000000000007</v>
      </c>
    </row>
    <row r="441" spans="1:8" x14ac:dyDescent="0.45">
      <c r="A441" s="19">
        <v>45214</v>
      </c>
      <c r="B441" s="1" t="s">
        <v>85</v>
      </c>
      <c r="C441" s="1" t="s">
        <v>427</v>
      </c>
      <c r="D441" s="5">
        <v>19</v>
      </c>
      <c r="E441" s="5">
        <v>-0.3</v>
      </c>
      <c r="F441" s="5">
        <v>-2.08</v>
      </c>
      <c r="G441" s="5">
        <v>0</v>
      </c>
      <c r="H441" s="5">
        <f t="shared" si="6"/>
        <v>16.619999999999997</v>
      </c>
    </row>
    <row r="442" spans="1:8" x14ac:dyDescent="0.45">
      <c r="A442" s="19">
        <v>45214</v>
      </c>
      <c r="B442" s="1" t="s">
        <v>85</v>
      </c>
      <c r="C442" s="1" t="s">
        <v>428</v>
      </c>
      <c r="D442" s="5">
        <v>40</v>
      </c>
      <c r="E442" s="5">
        <v>-0.3</v>
      </c>
      <c r="F442" s="5">
        <v>-4.34</v>
      </c>
      <c r="G442" s="5">
        <v>0</v>
      </c>
      <c r="H442" s="5">
        <f t="shared" si="6"/>
        <v>35.36</v>
      </c>
    </row>
    <row r="443" spans="1:8" x14ac:dyDescent="0.45">
      <c r="A443" s="19">
        <v>45215</v>
      </c>
      <c r="B443" s="1" t="s">
        <v>85</v>
      </c>
      <c r="C443" s="1" t="s">
        <v>429</v>
      </c>
      <c r="D443" s="5">
        <v>100</v>
      </c>
      <c r="E443" s="5">
        <v>0</v>
      </c>
      <c r="F443" s="5">
        <v>-10.96</v>
      </c>
      <c r="G443" s="5">
        <v>0</v>
      </c>
      <c r="H443" s="5">
        <f t="shared" si="6"/>
        <v>89.039999999999992</v>
      </c>
    </row>
    <row r="444" spans="1:8" x14ac:dyDescent="0.45">
      <c r="A444" s="19">
        <v>45215</v>
      </c>
      <c r="B444" s="1" t="s">
        <v>85</v>
      </c>
      <c r="C444" s="1" t="s">
        <v>430</v>
      </c>
      <c r="D444" s="5">
        <v>75</v>
      </c>
      <c r="E444" s="5">
        <v>0</v>
      </c>
      <c r="F444" s="5">
        <v>-8.2200000000000006</v>
      </c>
      <c r="G444" s="5">
        <v>0</v>
      </c>
      <c r="H444" s="5">
        <f t="shared" si="6"/>
        <v>66.78</v>
      </c>
    </row>
    <row r="445" spans="1:8" x14ac:dyDescent="0.45">
      <c r="A445" s="19">
        <v>45215</v>
      </c>
      <c r="B445" s="1" t="s">
        <v>85</v>
      </c>
      <c r="C445" s="1" t="s">
        <v>431</v>
      </c>
      <c r="D445" s="5">
        <v>25</v>
      </c>
      <c r="E445" s="5">
        <v>-0.3</v>
      </c>
      <c r="F445" s="5">
        <v>-2.74</v>
      </c>
      <c r="G445" s="5">
        <v>0</v>
      </c>
      <c r="H445" s="5">
        <f t="shared" si="6"/>
        <v>21.96</v>
      </c>
    </row>
    <row r="446" spans="1:8" x14ac:dyDescent="0.45">
      <c r="A446" s="19">
        <v>45217</v>
      </c>
      <c r="B446" s="1" t="s">
        <v>85</v>
      </c>
      <c r="C446" s="1" t="s">
        <v>226</v>
      </c>
      <c r="D446" s="5">
        <v>80</v>
      </c>
      <c r="E446" s="5">
        <v>-0.3</v>
      </c>
      <c r="F446" s="5">
        <v>-8.7200000000000006</v>
      </c>
      <c r="G446" s="5">
        <v>0</v>
      </c>
      <c r="H446" s="5">
        <f t="shared" si="6"/>
        <v>70.98</v>
      </c>
    </row>
    <row r="447" spans="1:8" x14ac:dyDescent="0.45">
      <c r="A447" s="19">
        <v>45217</v>
      </c>
      <c r="B447" s="1" t="s">
        <v>85</v>
      </c>
      <c r="C447" s="1" t="s">
        <v>432</v>
      </c>
      <c r="D447" s="5">
        <v>29</v>
      </c>
      <c r="E447" s="5">
        <v>-0.3</v>
      </c>
      <c r="F447" s="5">
        <v>-3.14</v>
      </c>
      <c r="G447" s="5">
        <v>0</v>
      </c>
      <c r="H447" s="5">
        <f t="shared" si="6"/>
        <v>25.56</v>
      </c>
    </row>
    <row r="448" spans="1:8" x14ac:dyDescent="0.45">
      <c r="A448" s="19">
        <v>45219</v>
      </c>
      <c r="B448" s="1" t="s">
        <v>85</v>
      </c>
      <c r="C448" s="1" t="s">
        <v>360</v>
      </c>
      <c r="D448" s="5">
        <v>39</v>
      </c>
      <c r="E448" s="5">
        <v>-0.3</v>
      </c>
      <c r="F448" s="5">
        <v>-4.28</v>
      </c>
      <c r="G448" s="5">
        <v>0</v>
      </c>
      <c r="H448" s="5">
        <f t="shared" si="6"/>
        <v>34.42</v>
      </c>
    </row>
    <row r="449" spans="1:8" x14ac:dyDescent="0.45">
      <c r="A449" s="19">
        <v>45219</v>
      </c>
      <c r="B449" s="1" t="s">
        <v>85</v>
      </c>
      <c r="C449" s="1" t="s">
        <v>433</v>
      </c>
      <c r="D449" s="5">
        <v>39</v>
      </c>
      <c r="E449" s="5">
        <v>-0.3</v>
      </c>
      <c r="F449" s="5">
        <v>-4.2699999999999996</v>
      </c>
      <c r="G449" s="5">
        <v>0</v>
      </c>
      <c r="H449" s="5">
        <f t="shared" si="6"/>
        <v>34.430000000000007</v>
      </c>
    </row>
    <row r="450" spans="1:8" x14ac:dyDescent="0.45">
      <c r="A450" s="19">
        <v>45219</v>
      </c>
      <c r="B450" s="1" t="s">
        <v>85</v>
      </c>
      <c r="C450" s="1" t="s">
        <v>434</v>
      </c>
      <c r="D450" s="5">
        <v>119</v>
      </c>
      <c r="E450" s="5">
        <v>-0.3</v>
      </c>
      <c r="F450" s="5">
        <v>-13.34</v>
      </c>
      <c r="G450" s="5">
        <v>0</v>
      </c>
      <c r="H450" s="5">
        <f t="shared" si="6"/>
        <v>105.36</v>
      </c>
    </row>
    <row r="451" spans="1:8" x14ac:dyDescent="0.45">
      <c r="A451" s="19">
        <v>45219</v>
      </c>
      <c r="B451" s="1" t="s">
        <v>85</v>
      </c>
      <c r="C451" s="1" t="s">
        <v>435</v>
      </c>
      <c r="D451" s="5">
        <v>29</v>
      </c>
      <c r="E451" s="5">
        <v>-0.3</v>
      </c>
      <c r="F451" s="5">
        <v>-3.18</v>
      </c>
      <c r="G451" s="5">
        <v>0</v>
      </c>
      <c r="H451" s="5">
        <f t="shared" ref="H451:H514" si="7">D451+E451+F451</f>
        <v>25.52</v>
      </c>
    </row>
    <row r="452" spans="1:8" x14ac:dyDescent="0.45">
      <c r="A452" s="19">
        <v>45220</v>
      </c>
      <c r="B452" s="1" t="s">
        <v>85</v>
      </c>
      <c r="C452" s="1" t="s">
        <v>404</v>
      </c>
      <c r="D452" s="5">
        <v>185</v>
      </c>
      <c r="E452" s="5">
        <v>-0.3</v>
      </c>
      <c r="F452" s="5">
        <v>-20.47</v>
      </c>
      <c r="G452" s="5">
        <v>0</v>
      </c>
      <c r="H452" s="5">
        <f t="shared" si="7"/>
        <v>164.23</v>
      </c>
    </row>
    <row r="453" spans="1:8" x14ac:dyDescent="0.45">
      <c r="A453" s="19">
        <v>45220</v>
      </c>
      <c r="B453" s="1" t="s">
        <v>85</v>
      </c>
      <c r="C453" s="1" t="s">
        <v>436</v>
      </c>
      <c r="D453" s="5">
        <v>50</v>
      </c>
      <c r="E453" s="5">
        <v>-0.3</v>
      </c>
      <c r="F453" s="5">
        <v>-5.52</v>
      </c>
      <c r="G453" s="5">
        <v>0</v>
      </c>
      <c r="H453" s="5">
        <f t="shared" si="7"/>
        <v>44.180000000000007</v>
      </c>
    </row>
    <row r="454" spans="1:8" x14ac:dyDescent="0.45">
      <c r="A454" s="19">
        <v>45221</v>
      </c>
      <c r="B454" s="1" t="s">
        <v>85</v>
      </c>
      <c r="C454" s="1" t="s">
        <v>437</v>
      </c>
      <c r="D454" s="5">
        <v>85</v>
      </c>
      <c r="E454" s="5">
        <v>-0.3</v>
      </c>
      <c r="F454" s="5">
        <v>-9.31</v>
      </c>
      <c r="G454" s="5">
        <v>0</v>
      </c>
      <c r="H454" s="5">
        <f t="shared" si="7"/>
        <v>75.39</v>
      </c>
    </row>
    <row r="455" spans="1:8" x14ac:dyDescent="0.45">
      <c r="A455" s="19">
        <v>45222</v>
      </c>
      <c r="B455" s="1" t="s">
        <v>85</v>
      </c>
      <c r="C455" s="1" t="s">
        <v>438</v>
      </c>
      <c r="D455" s="5">
        <v>45</v>
      </c>
      <c r="E455" s="5">
        <v>-0.3</v>
      </c>
      <c r="F455" s="5">
        <v>-4.93</v>
      </c>
      <c r="G455" s="5">
        <v>0</v>
      </c>
      <c r="H455" s="5">
        <f t="shared" si="7"/>
        <v>39.770000000000003</v>
      </c>
    </row>
    <row r="456" spans="1:8" x14ac:dyDescent="0.45">
      <c r="A456" s="19">
        <v>45223</v>
      </c>
      <c r="B456" s="1" t="s">
        <v>85</v>
      </c>
      <c r="C456" s="1" t="s">
        <v>439</v>
      </c>
      <c r="D456" s="5">
        <v>24</v>
      </c>
      <c r="E456" s="5">
        <v>-0.3</v>
      </c>
      <c r="F456" s="5">
        <v>-2.57</v>
      </c>
      <c r="G456" s="5">
        <v>0</v>
      </c>
      <c r="H456" s="5">
        <f t="shared" si="7"/>
        <v>21.13</v>
      </c>
    </row>
    <row r="457" spans="1:8" x14ac:dyDescent="0.45">
      <c r="A457" s="19">
        <v>45224</v>
      </c>
      <c r="B457" s="1" t="s">
        <v>85</v>
      </c>
      <c r="C457" s="1" t="s">
        <v>440</v>
      </c>
      <c r="D457" s="5">
        <v>39</v>
      </c>
      <c r="E457" s="5">
        <v>-0.3</v>
      </c>
      <c r="F457" s="5">
        <v>-4.32</v>
      </c>
      <c r="G457" s="5">
        <v>0</v>
      </c>
      <c r="H457" s="5">
        <f t="shared" si="7"/>
        <v>34.380000000000003</v>
      </c>
    </row>
    <row r="458" spans="1:8" x14ac:dyDescent="0.45">
      <c r="A458" s="19">
        <v>45224</v>
      </c>
      <c r="B458" s="1" t="s">
        <v>85</v>
      </c>
      <c r="C458" s="1" t="s">
        <v>441</v>
      </c>
      <c r="D458" s="5">
        <v>20</v>
      </c>
      <c r="E458" s="5">
        <v>-0.3</v>
      </c>
      <c r="F458" s="5">
        <v>-2.17</v>
      </c>
      <c r="G458" s="5">
        <v>0</v>
      </c>
      <c r="H458" s="5">
        <f t="shared" si="7"/>
        <v>17.53</v>
      </c>
    </row>
    <row r="459" spans="1:8" x14ac:dyDescent="0.45">
      <c r="A459" s="19">
        <v>45225</v>
      </c>
      <c r="B459" s="1" t="s">
        <v>85</v>
      </c>
      <c r="C459" s="1" t="s">
        <v>344</v>
      </c>
      <c r="D459" s="5">
        <v>49</v>
      </c>
      <c r="E459" s="5">
        <v>-0.3</v>
      </c>
      <c r="F459" s="5">
        <v>-5.41</v>
      </c>
      <c r="G459" s="5">
        <v>0</v>
      </c>
      <c r="H459" s="5">
        <f t="shared" si="7"/>
        <v>43.290000000000006</v>
      </c>
    </row>
    <row r="460" spans="1:8" x14ac:dyDescent="0.45">
      <c r="A460" s="19">
        <v>45225</v>
      </c>
      <c r="B460" s="1" t="s">
        <v>85</v>
      </c>
      <c r="C460" s="1" t="s">
        <v>442</v>
      </c>
      <c r="D460" s="5">
        <v>29</v>
      </c>
      <c r="E460" s="5">
        <v>-0.3</v>
      </c>
      <c r="F460" s="5">
        <v>-3.14</v>
      </c>
      <c r="G460" s="5">
        <v>0</v>
      </c>
      <c r="H460" s="5">
        <f t="shared" si="7"/>
        <v>25.56</v>
      </c>
    </row>
    <row r="461" spans="1:8" x14ac:dyDescent="0.45">
      <c r="A461" s="19">
        <v>45226</v>
      </c>
      <c r="B461" s="1" t="s">
        <v>85</v>
      </c>
      <c r="C461" s="1" t="s">
        <v>443</v>
      </c>
      <c r="D461" s="5">
        <v>29</v>
      </c>
      <c r="E461" s="5">
        <v>-0.3</v>
      </c>
      <c r="F461" s="5">
        <v>-3.14</v>
      </c>
      <c r="G461" s="5">
        <v>0</v>
      </c>
      <c r="H461" s="5">
        <f t="shared" si="7"/>
        <v>25.56</v>
      </c>
    </row>
    <row r="462" spans="1:8" x14ac:dyDescent="0.45">
      <c r="A462" s="19">
        <v>45226</v>
      </c>
      <c r="B462" s="1" t="s">
        <v>85</v>
      </c>
      <c r="C462" s="1" t="s">
        <v>444</v>
      </c>
      <c r="D462" s="5">
        <v>39</v>
      </c>
      <c r="E462" s="5">
        <v>0</v>
      </c>
      <c r="F462" s="5">
        <v>-4.22</v>
      </c>
      <c r="G462" s="5">
        <v>0</v>
      </c>
      <c r="H462" s="5">
        <f t="shared" si="7"/>
        <v>34.78</v>
      </c>
    </row>
    <row r="463" spans="1:8" x14ac:dyDescent="0.45">
      <c r="A463" s="19">
        <v>45226</v>
      </c>
      <c r="B463" s="1" t="s">
        <v>85</v>
      </c>
      <c r="C463" s="1" t="s">
        <v>445</v>
      </c>
      <c r="D463" s="5">
        <v>120</v>
      </c>
      <c r="E463" s="5">
        <v>-0.3</v>
      </c>
      <c r="F463" s="5">
        <v>-13.12</v>
      </c>
      <c r="G463" s="5">
        <v>0</v>
      </c>
      <c r="H463" s="5">
        <f t="shared" si="7"/>
        <v>106.58</v>
      </c>
    </row>
    <row r="464" spans="1:8" x14ac:dyDescent="0.45">
      <c r="A464" s="19">
        <v>45227</v>
      </c>
      <c r="B464" s="1" t="s">
        <v>85</v>
      </c>
      <c r="C464" s="1" t="s">
        <v>446</v>
      </c>
      <c r="D464" s="5">
        <v>80</v>
      </c>
      <c r="E464" s="5">
        <v>-0.3</v>
      </c>
      <c r="F464" s="5">
        <v>-8.74</v>
      </c>
      <c r="G464" s="5">
        <v>0</v>
      </c>
      <c r="H464" s="5">
        <f t="shared" si="7"/>
        <v>70.960000000000008</v>
      </c>
    </row>
    <row r="465" spans="1:8" x14ac:dyDescent="0.45">
      <c r="A465" s="19">
        <v>45227</v>
      </c>
      <c r="B465" s="1" t="s">
        <v>85</v>
      </c>
      <c r="C465" s="1" t="s">
        <v>447</v>
      </c>
      <c r="D465" s="5">
        <v>30</v>
      </c>
      <c r="E465" s="5">
        <v>-0.3</v>
      </c>
      <c r="F465" s="5">
        <v>-3.32</v>
      </c>
      <c r="G465" s="5">
        <v>0</v>
      </c>
      <c r="H465" s="5">
        <f t="shared" si="7"/>
        <v>26.38</v>
      </c>
    </row>
    <row r="466" spans="1:8" x14ac:dyDescent="0.45">
      <c r="A466" s="19">
        <v>45228</v>
      </c>
      <c r="B466" s="1" t="s">
        <v>85</v>
      </c>
      <c r="C466" s="1" t="s">
        <v>448</v>
      </c>
      <c r="D466" s="5">
        <v>65</v>
      </c>
      <c r="E466" s="5">
        <v>-0.3</v>
      </c>
      <c r="F466" s="5">
        <v>-7.04</v>
      </c>
      <c r="G466" s="5">
        <v>0</v>
      </c>
      <c r="H466" s="5">
        <f t="shared" si="7"/>
        <v>57.660000000000004</v>
      </c>
    </row>
    <row r="467" spans="1:8" x14ac:dyDescent="0.45">
      <c r="A467" s="19">
        <v>45228</v>
      </c>
      <c r="B467" s="1" t="s">
        <v>85</v>
      </c>
      <c r="C467" s="1" t="s">
        <v>449</v>
      </c>
      <c r="D467" s="5">
        <v>25</v>
      </c>
      <c r="E467" s="5">
        <v>-0.3</v>
      </c>
      <c r="F467" s="5">
        <v>-2.69</v>
      </c>
      <c r="G467" s="5">
        <v>0</v>
      </c>
      <c r="H467" s="5">
        <f t="shared" si="7"/>
        <v>22.009999999999998</v>
      </c>
    </row>
    <row r="468" spans="1:8" x14ac:dyDescent="0.45">
      <c r="A468" s="19">
        <v>45230</v>
      </c>
      <c r="B468" s="1" t="s">
        <v>85</v>
      </c>
      <c r="C468" s="1" t="s">
        <v>315</v>
      </c>
      <c r="D468" s="5">
        <v>49</v>
      </c>
      <c r="E468" s="5">
        <v>-0.3</v>
      </c>
      <c r="F468" s="5">
        <v>-5.28</v>
      </c>
      <c r="G468" s="5">
        <v>0</v>
      </c>
      <c r="H468" s="5">
        <f t="shared" si="7"/>
        <v>43.42</v>
      </c>
    </row>
    <row r="469" spans="1:8" x14ac:dyDescent="0.45">
      <c r="A469" s="19">
        <v>45232</v>
      </c>
      <c r="B469" s="1" t="s">
        <v>85</v>
      </c>
      <c r="C469" s="1" t="s">
        <v>450</v>
      </c>
      <c r="D469" s="5">
        <v>30</v>
      </c>
      <c r="E469" s="5">
        <v>-0.3</v>
      </c>
      <c r="F469" s="5">
        <v>-3.17</v>
      </c>
      <c r="G469" s="5">
        <v>0</v>
      </c>
      <c r="H469" s="5">
        <f t="shared" si="7"/>
        <v>26.53</v>
      </c>
    </row>
    <row r="470" spans="1:8" x14ac:dyDescent="0.45">
      <c r="A470" s="19">
        <v>45232</v>
      </c>
      <c r="B470" s="1" t="s">
        <v>85</v>
      </c>
      <c r="C470" s="1" t="s">
        <v>451</v>
      </c>
      <c r="D470" s="5">
        <v>34</v>
      </c>
      <c r="E470" s="5">
        <v>-0.3</v>
      </c>
      <c r="F470" s="5">
        <v>-3.75</v>
      </c>
      <c r="G470" s="5">
        <v>0</v>
      </c>
      <c r="H470" s="5">
        <f t="shared" si="7"/>
        <v>29.950000000000003</v>
      </c>
    </row>
    <row r="471" spans="1:8" x14ac:dyDescent="0.45">
      <c r="A471" s="19">
        <v>45234</v>
      </c>
      <c r="B471" s="1" t="s">
        <v>85</v>
      </c>
      <c r="C471" s="1" t="s">
        <v>452</v>
      </c>
      <c r="D471" s="5">
        <v>23</v>
      </c>
      <c r="E471" s="5">
        <v>-0.3</v>
      </c>
      <c r="F471" s="5">
        <v>-2.4900000000000002</v>
      </c>
      <c r="G471" s="5">
        <v>0</v>
      </c>
      <c r="H471" s="5">
        <f t="shared" si="7"/>
        <v>20.21</v>
      </c>
    </row>
    <row r="472" spans="1:8" x14ac:dyDescent="0.45">
      <c r="A472" s="19">
        <v>45234</v>
      </c>
      <c r="B472" s="1" t="s">
        <v>85</v>
      </c>
      <c r="C472" s="1" t="s">
        <v>453</v>
      </c>
      <c r="D472" s="5">
        <v>35</v>
      </c>
      <c r="E472" s="5">
        <v>-0.3</v>
      </c>
      <c r="F472" s="5">
        <v>-3.79</v>
      </c>
      <c r="G472" s="5">
        <v>0</v>
      </c>
      <c r="H472" s="5">
        <f t="shared" si="7"/>
        <v>30.910000000000004</v>
      </c>
    </row>
    <row r="473" spans="1:8" x14ac:dyDescent="0.45">
      <c r="A473" s="19">
        <v>45235</v>
      </c>
      <c r="B473" s="1" t="s">
        <v>85</v>
      </c>
      <c r="C473" s="1" t="s">
        <v>454</v>
      </c>
      <c r="D473" s="5">
        <v>45</v>
      </c>
      <c r="E473" s="5">
        <v>-0.3</v>
      </c>
      <c r="F473" s="5">
        <v>-4.93</v>
      </c>
      <c r="G473" s="5">
        <v>0</v>
      </c>
      <c r="H473" s="5">
        <f t="shared" si="7"/>
        <v>39.770000000000003</v>
      </c>
    </row>
    <row r="474" spans="1:8" x14ac:dyDescent="0.45">
      <c r="A474" s="19">
        <v>45235</v>
      </c>
      <c r="B474" s="1" t="s">
        <v>85</v>
      </c>
      <c r="C474" s="1" t="s">
        <v>455</v>
      </c>
      <c r="D474" s="5">
        <v>15</v>
      </c>
      <c r="E474" s="5">
        <v>-0.3</v>
      </c>
      <c r="F474" s="5">
        <v>-1.67</v>
      </c>
      <c r="G474" s="5">
        <v>0</v>
      </c>
      <c r="H474" s="5">
        <f t="shared" si="7"/>
        <v>13.03</v>
      </c>
    </row>
    <row r="475" spans="1:8" x14ac:dyDescent="0.45">
      <c r="A475" s="19">
        <v>45235</v>
      </c>
      <c r="B475" s="1" t="s">
        <v>85</v>
      </c>
      <c r="C475" s="1" t="s">
        <v>456</v>
      </c>
      <c r="D475" s="5">
        <v>40</v>
      </c>
      <c r="E475" s="5">
        <v>-0.3</v>
      </c>
      <c r="F475" s="5">
        <v>-4.22</v>
      </c>
      <c r="G475" s="5">
        <v>0</v>
      </c>
      <c r="H475" s="5">
        <f t="shared" si="7"/>
        <v>35.480000000000004</v>
      </c>
    </row>
    <row r="476" spans="1:8" x14ac:dyDescent="0.45">
      <c r="A476" s="19">
        <v>45235</v>
      </c>
      <c r="B476" s="1" t="s">
        <v>85</v>
      </c>
      <c r="C476" s="1" t="s">
        <v>457</v>
      </c>
      <c r="D476" s="5">
        <v>169</v>
      </c>
      <c r="E476" s="5">
        <v>-0.3</v>
      </c>
      <c r="F476" s="5">
        <v>-18.47</v>
      </c>
      <c r="G476" s="5">
        <v>0</v>
      </c>
      <c r="H476" s="5">
        <f t="shared" si="7"/>
        <v>150.22999999999999</v>
      </c>
    </row>
    <row r="477" spans="1:8" x14ac:dyDescent="0.45">
      <c r="A477" s="19">
        <v>45235</v>
      </c>
      <c r="B477" s="1" t="s">
        <v>85</v>
      </c>
      <c r="C477" s="1" t="s">
        <v>458</v>
      </c>
      <c r="D477" s="5">
        <v>149</v>
      </c>
      <c r="E477" s="5">
        <v>-0.3</v>
      </c>
      <c r="F477" s="5">
        <v>-16.48</v>
      </c>
      <c r="G477" s="5">
        <v>0</v>
      </c>
      <c r="H477" s="5">
        <f t="shared" si="7"/>
        <v>132.22</v>
      </c>
    </row>
    <row r="478" spans="1:8" x14ac:dyDescent="0.45">
      <c r="A478" s="19">
        <v>45235</v>
      </c>
      <c r="B478" s="1" t="s">
        <v>85</v>
      </c>
      <c r="C478" s="1" t="s">
        <v>459</v>
      </c>
      <c r="D478" s="5">
        <v>9</v>
      </c>
      <c r="E478" s="5">
        <v>-0.3</v>
      </c>
      <c r="F478" s="5">
        <v>-0.99</v>
      </c>
      <c r="G478" s="5">
        <v>0</v>
      </c>
      <c r="H478" s="5">
        <f t="shared" si="7"/>
        <v>7.7099999999999991</v>
      </c>
    </row>
    <row r="479" spans="1:8" x14ac:dyDescent="0.45">
      <c r="A479" s="19">
        <v>45237</v>
      </c>
      <c r="B479" s="1" t="s">
        <v>85</v>
      </c>
      <c r="C479" s="1" t="s">
        <v>460</v>
      </c>
      <c r="D479" s="5">
        <v>30</v>
      </c>
      <c r="E479" s="5">
        <v>-0.3</v>
      </c>
      <c r="F479" s="5">
        <v>-3.29</v>
      </c>
      <c r="G479" s="5">
        <v>0</v>
      </c>
      <c r="H479" s="5">
        <f t="shared" si="7"/>
        <v>26.41</v>
      </c>
    </row>
    <row r="480" spans="1:8" x14ac:dyDescent="0.45">
      <c r="A480" s="19">
        <v>45237</v>
      </c>
      <c r="B480" s="1" t="s">
        <v>85</v>
      </c>
      <c r="C480" s="1" t="s">
        <v>461</v>
      </c>
      <c r="D480" s="5">
        <v>29</v>
      </c>
      <c r="E480" s="5">
        <v>-0.3</v>
      </c>
      <c r="F480" s="5">
        <v>-3.12</v>
      </c>
      <c r="G480" s="5">
        <v>0</v>
      </c>
      <c r="H480" s="5">
        <f t="shared" si="7"/>
        <v>25.58</v>
      </c>
    </row>
    <row r="481" spans="1:8" x14ac:dyDescent="0.45">
      <c r="A481" s="19">
        <v>45238</v>
      </c>
      <c r="B481" s="1" t="s">
        <v>85</v>
      </c>
      <c r="C481" s="1" t="s">
        <v>462</v>
      </c>
      <c r="D481" s="5">
        <v>59</v>
      </c>
      <c r="E481" s="5">
        <v>-0.3</v>
      </c>
      <c r="F481" s="5">
        <v>-6.45</v>
      </c>
      <c r="G481" s="5">
        <v>0</v>
      </c>
      <c r="H481" s="5">
        <f t="shared" si="7"/>
        <v>52.25</v>
      </c>
    </row>
    <row r="482" spans="1:8" x14ac:dyDescent="0.45">
      <c r="A482" s="19">
        <v>45240</v>
      </c>
      <c r="B482" s="1" t="s">
        <v>85</v>
      </c>
      <c r="C482" s="1" t="s">
        <v>463</v>
      </c>
      <c r="D482" s="5">
        <v>100</v>
      </c>
      <c r="E482" s="5">
        <v>-0.3</v>
      </c>
      <c r="F482" s="5">
        <v>-10.83</v>
      </c>
      <c r="G482" s="5">
        <v>0</v>
      </c>
      <c r="H482" s="5">
        <f t="shared" si="7"/>
        <v>88.87</v>
      </c>
    </row>
    <row r="483" spans="1:8" x14ac:dyDescent="0.45">
      <c r="A483" s="19">
        <v>45241</v>
      </c>
      <c r="B483" s="1" t="s">
        <v>85</v>
      </c>
      <c r="C483" s="1" t="s">
        <v>464</v>
      </c>
      <c r="D483" s="5">
        <v>69</v>
      </c>
      <c r="E483" s="5">
        <v>-0.3</v>
      </c>
      <c r="F483" s="5">
        <v>-7.54</v>
      </c>
      <c r="G483" s="5">
        <v>0</v>
      </c>
      <c r="H483" s="5">
        <f t="shared" si="7"/>
        <v>61.160000000000004</v>
      </c>
    </row>
    <row r="484" spans="1:8" x14ac:dyDescent="0.45">
      <c r="A484" s="19">
        <v>45241</v>
      </c>
      <c r="B484" s="1" t="s">
        <v>85</v>
      </c>
      <c r="C484" s="1" t="s">
        <v>465</v>
      </c>
      <c r="D484" s="5">
        <v>19</v>
      </c>
      <c r="E484" s="5">
        <v>-0.3</v>
      </c>
      <c r="F484" s="5">
        <v>-2.0499999999999998</v>
      </c>
      <c r="G484" s="5">
        <v>0</v>
      </c>
      <c r="H484" s="5">
        <f t="shared" si="7"/>
        <v>16.649999999999999</v>
      </c>
    </row>
    <row r="485" spans="1:8" x14ac:dyDescent="0.45">
      <c r="A485" s="19">
        <v>45242</v>
      </c>
      <c r="B485" s="1" t="s">
        <v>85</v>
      </c>
      <c r="C485" s="1" t="s">
        <v>449</v>
      </c>
      <c r="D485" s="5">
        <v>30</v>
      </c>
      <c r="E485" s="5">
        <v>-0.3</v>
      </c>
      <c r="F485" s="5">
        <v>-3.35</v>
      </c>
      <c r="G485" s="5">
        <v>0</v>
      </c>
      <c r="H485" s="5">
        <f t="shared" si="7"/>
        <v>26.349999999999998</v>
      </c>
    </row>
    <row r="486" spans="1:8" x14ac:dyDescent="0.45">
      <c r="A486" s="19">
        <v>45242</v>
      </c>
      <c r="B486" s="1" t="s">
        <v>85</v>
      </c>
      <c r="C486" s="1" t="s">
        <v>466</v>
      </c>
      <c r="D486" s="5">
        <v>39</v>
      </c>
      <c r="E486" s="5">
        <v>-0.3</v>
      </c>
      <c r="F486" s="5">
        <v>-4.34</v>
      </c>
      <c r="G486" s="5">
        <v>0</v>
      </c>
      <c r="H486" s="5">
        <f t="shared" si="7"/>
        <v>34.36</v>
      </c>
    </row>
    <row r="487" spans="1:8" x14ac:dyDescent="0.45">
      <c r="A487" s="19">
        <v>45243</v>
      </c>
      <c r="B487" s="1" t="s">
        <v>85</v>
      </c>
      <c r="C487" s="1" t="s">
        <v>467</v>
      </c>
      <c r="D487" s="5">
        <v>39</v>
      </c>
      <c r="E487" s="5">
        <v>-0.3</v>
      </c>
      <c r="F487" s="5">
        <v>-4.2699999999999996</v>
      </c>
      <c r="G487" s="5">
        <v>0</v>
      </c>
      <c r="H487" s="5">
        <f t="shared" si="7"/>
        <v>34.430000000000007</v>
      </c>
    </row>
    <row r="488" spans="1:8" x14ac:dyDescent="0.45">
      <c r="A488" s="19">
        <v>45245</v>
      </c>
      <c r="B488" s="1" t="s">
        <v>85</v>
      </c>
      <c r="C488" s="1" t="s">
        <v>468</v>
      </c>
      <c r="D488" s="5">
        <v>29</v>
      </c>
      <c r="E488" s="5">
        <v>-0.3</v>
      </c>
      <c r="F488" s="5">
        <v>-3.17</v>
      </c>
      <c r="G488" s="5">
        <v>0</v>
      </c>
      <c r="H488" s="5">
        <f t="shared" si="7"/>
        <v>25.53</v>
      </c>
    </row>
    <row r="489" spans="1:8" x14ac:dyDescent="0.45">
      <c r="A489" s="19">
        <v>45246</v>
      </c>
      <c r="B489" s="1" t="s">
        <v>85</v>
      </c>
      <c r="C489" s="1" t="s">
        <v>469</v>
      </c>
      <c r="D489" s="5">
        <v>50</v>
      </c>
      <c r="E489" s="5">
        <v>-0.3</v>
      </c>
      <c r="F489" s="5">
        <v>-5.47</v>
      </c>
      <c r="G489" s="5">
        <v>0</v>
      </c>
      <c r="H489" s="5">
        <f t="shared" si="7"/>
        <v>44.230000000000004</v>
      </c>
    </row>
    <row r="490" spans="1:8" x14ac:dyDescent="0.45">
      <c r="A490" s="19">
        <v>45247</v>
      </c>
      <c r="B490" s="1" t="s">
        <v>85</v>
      </c>
      <c r="C490" s="1" t="s">
        <v>470</v>
      </c>
      <c r="D490" s="5">
        <v>29</v>
      </c>
      <c r="E490" s="5">
        <v>-0.3</v>
      </c>
      <c r="F490" s="5">
        <v>-3.17</v>
      </c>
      <c r="G490" s="5">
        <v>0</v>
      </c>
      <c r="H490" s="5">
        <f t="shared" si="7"/>
        <v>25.53</v>
      </c>
    </row>
    <row r="491" spans="1:8" x14ac:dyDescent="0.45">
      <c r="A491" s="19">
        <v>45248</v>
      </c>
      <c r="B491" s="1" t="s">
        <v>85</v>
      </c>
      <c r="C491" s="1" t="s">
        <v>328</v>
      </c>
      <c r="D491" s="5">
        <v>29</v>
      </c>
      <c r="E491" s="5">
        <v>-0.3</v>
      </c>
      <c r="F491" s="5">
        <v>-3.15</v>
      </c>
      <c r="G491" s="5">
        <v>0</v>
      </c>
      <c r="H491" s="5">
        <f t="shared" si="7"/>
        <v>25.55</v>
      </c>
    </row>
    <row r="492" spans="1:8" x14ac:dyDescent="0.45">
      <c r="A492" s="19">
        <v>45249</v>
      </c>
      <c r="B492" s="1" t="s">
        <v>85</v>
      </c>
      <c r="C492" s="1" t="s">
        <v>471</v>
      </c>
      <c r="D492" s="5">
        <v>22</v>
      </c>
      <c r="E492" s="5">
        <v>-0.3</v>
      </c>
      <c r="F492" s="5">
        <v>-2.4</v>
      </c>
      <c r="G492" s="5">
        <v>0</v>
      </c>
      <c r="H492" s="5">
        <f t="shared" si="7"/>
        <v>19.3</v>
      </c>
    </row>
    <row r="493" spans="1:8" x14ac:dyDescent="0.45">
      <c r="A493" s="19">
        <v>45250</v>
      </c>
      <c r="B493" s="1" t="s">
        <v>85</v>
      </c>
      <c r="C493" s="1" t="s">
        <v>472</v>
      </c>
      <c r="D493" s="5">
        <v>75</v>
      </c>
      <c r="E493" s="5">
        <v>-0.3</v>
      </c>
      <c r="F493" s="5">
        <v>-8.16</v>
      </c>
      <c r="G493" s="5">
        <v>0</v>
      </c>
      <c r="H493" s="5">
        <f t="shared" si="7"/>
        <v>66.540000000000006</v>
      </c>
    </row>
    <row r="494" spans="1:8" x14ac:dyDescent="0.45">
      <c r="A494" s="19">
        <v>45251</v>
      </c>
      <c r="B494" s="1" t="s">
        <v>85</v>
      </c>
      <c r="C494" s="1" t="s">
        <v>473</v>
      </c>
      <c r="D494" s="5">
        <v>99</v>
      </c>
      <c r="E494" s="5">
        <v>-0.3</v>
      </c>
      <c r="F494" s="5">
        <v>-10.72</v>
      </c>
      <c r="G494" s="5">
        <v>0</v>
      </c>
      <c r="H494" s="5">
        <f t="shared" si="7"/>
        <v>87.98</v>
      </c>
    </row>
    <row r="495" spans="1:8" x14ac:dyDescent="0.45">
      <c r="A495" s="19">
        <v>45251</v>
      </c>
      <c r="B495" s="1" t="s">
        <v>85</v>
      </c>
      <c r="C495" s="1" t="s">
        <v>474</v>
      </c>
      <c r="D495" s="5">
        <v>30</v>
      </c>
      <c r="E495" s="5">
        <v>-0.3</v>
      </c>
      <c r="F495" s="5">
        <v>-3.26</v>
      </c>
      <c r="G495" s="5">
        <v>0</v>
      </c>
      <c r="H495" s="5">
        <f t="shared" si="7"/>
        <v>26.439999999999998</v>
      </c>
    </row>
    <row r="496" spans="1:8" x14ac:dyDescent="0.45">
      <c r="A496" s="19">
        <v>45252</v>
      </c>
      <c r="B496" s="1" t="s">
        <v>85</v>
      </c>
      <c r="C496" s="1" t="s">
        <v>475</v>
      </c>
      <c r="D496" s="5">
        <v>29</v>
      </c>
      <c r="E496" s="5">
        <v>-0.3</v>
      </c>
      <c r="F496" s="5">
        <v>-3.17</v>
      </c>
      <c r="G496" s="5">
        <v>0</v>
      </c>
      <c r="H496" s="5">
        <f t="shared" si="7"/>
        <v>25.53</v>
      </c>
    </row>
    <row r="497" spans="1:8" x14ac:dyDescent="0.45">
      <c r="A497" s="19">
        <v>45254</v>
      </c>
      <c r="B497" s="1" t="s">
        <v>85</v>
      </c>
      <c r="C497" s="1" t="s">
        <v>476</v>
      </c>
      <c r="D497" s="5">
        <v>25</v>
      </c>
      <c r="E497" s="5">
        <v>-0.3</v>
      </c>
      <c r="F497" s="5">
        <v>-2.74</v>
      </c>
      <c r="G497" s="5">
        <v>0</v>
      </c>
      <c r="H497" s="5">
        <f t="shared" si="7"/>
        <v>21.96</v>
      </c>
    </row>
    <row r="498" spans="1:8" x14ac:dyDescent="0.45">
      <c r="A498" s="19">
        <v>45254</v>
      </c>
      <c r="B498" s="1" t="s">
        <v>85</v>
      </c>
      <c r="C498" s="1" t="s">
        <v>477</v>
      </c>
      <c r="D498" s="5">
        <v>119</v>
      </c>
      <c r="E498" s="5">
        <v>-0.3</v>
      </c>
      <c r="F498" s="5">
        <v>-13.13</v>
      </c>
      <c r="G498" s="5">
        <v>0</v>
      </c>
      <c r="H498" s="5">
        <f t="shared" si="7"/>
        <v>105.57000000000001</v>
      </c>
    </row>
    <row r="499" spans="1:8" x14ac:dyDescent="0.45">
      <c r="A499" s="19">
        <v>45255</v>
      </c>
      <c r="B499" s="1" t="s">
        <v>85</v>
      </c>
      <c r="C499" s="1" t="s">
        <v>478</v>
      </c>
      <c r="D499" s="5">
        <v>29</v>
      </c>
      <c r="E499" s="5">
        <v>-0.3</v>
      </c>
      <c r="F499" s="5">
        <v>-3.15</v>
      </c>
      <c r="G499" s="5">
        <v>0</v>
      </c>
      <c r="H499" s="5">
        <f t="shared" si="7"/>
        <v>25.55</v>
      </c>
    </row>
    <row r="500" spans="1:8" x14ac:dyDescent="0.45">
      <c r="A500" s="19">
        <v>45255</v>
      </c>
      <c r="B500" s="1" t="s">
        <v>85</v>
      </c>
      <c r="C500" s="1" t="s">
        <v>479</v>
      </c>
      <c r="D500" s="5">
        <v>40</v>
      </c>
      <c r="E500" s="5">
        <v>-0.3</v>
      </c>
      <c r="F500" s="5">
        <v>-4.33</v>
      </c>
      <c r="G500" s="5">
        <v>0</v>
      </c>
      <c r="H500" s="5">
        <f t="shared" si="7"/>
        <v>35.370000000000005</v>
      </c>
    </row>
    <row r="501" spans="1:8" x14ac:dyDescent="0.45">
      <c r="A501" s="19">
        <v>45257</v>
      </c>
      <c r="B501" s="1" t="s">
        <v>85</v>
      </c>
      <c r="C501" s="1" t="s">
        <v>480</v>
      </c>
      <c r="D501" s="5">
        <v>180</v>
      </c>
      <c r="E501" s="5">
        <v>-0.3</v>
      </c>
      <c r="F501" s="5">
        <v>-19.63</v>
      </c>
      <c r="G501" s="5">
        <v>0</v>
      </c>
      <c r="H501" s="5">
        <f t="shared" si="7"/>
        <v>160.07</v>
      </c>
    </row>
    <row r="502" spans="1:8" x14ac:dyDescent="0.45">
      <c r="A502" s="19">
        <v>45260</v>
      </c>
      <c r="B502" s="1" t="s">
        <v>85</v>
      </c>
      <c r="C502" s="1" t="s">
        <v>481</v>
      </c>
      <c r="D502" s="5">
        <v>50</v>
      </c>
      <c r="E502" s="5">
        <v>-0.3</v>
      </c>
      <c r="F502" s="5">
        <v>-5.45</v>
      </c>
      <c r="G502" s="5">
        <v>0</v>
      </c>
      <c r="H502" s="5">
        <f t="shared" si="7"/>
        <v>44.25</v>
      </c>
    </row>
    <row r="503" spans="1:8" x14ac:dyDescent="0.45">
      <c r="A503" s="19">
        <v>45261</v>
      </c>
      <c r="B503" s="1" t="s">
        <v>85</v>
      </c>
      <c r="C503" s="1" t="s">
        <v>482</v>
      </c>
      <c r="D503" s="5">
        <v>125</v>
      </c>
      <c r="E503" s="5">
        <v>-0.3</v>
      </c>
      <c r="F503" s="5">
        <v>-13.95</v>
      </c>
      <c r="G503" s="5">
        <v>0</v>
      </c>
      <c r="H503" s="5">
        <f t="shared" si="7"/>
        <v>110.75</v>
      </c>
    </row>
    <row r="504" spans="1:8" x14ac:dyDescent="0.45">
      <c r="A504" s="19">
        <v>45262</v>
      </c>
      <c r="B504" s="1" t="s">
        <v>85</v>
      </c>
      <c r="C504" s="1" t="s">
        <v>483</v>
      </c>
      <c r="D504" s="5">
        <v>39</v>
      </c>
      <c r="E504" s="5">
        <v>-0.3</v>
      </c>
      <c r="F504" s="5">
        <v>-4.3899999999999997</v>
      </c>
      <c r="G504" s="5">
        <v>0</v>
      </c>
      <c r="H504" s="5">
        <f t="shared" si="7"/>
        <v>34.31</v>
      </c>
    </row>
    <row r="505" spans="1:8" x14ac:dyDescent="0.45">
      <c r="A505" s="19">
        <v>45263</v>
      </c>
      <c r="B505" s="1" t="s">
        <v>85</v>
      </c>
      <c r="C505" s="1" t="s">
        <v>484</v>
      </c>
      <c r="D505" s="5">
        <v>55</v>
      </c>
      <c r="E505" s="5">
        <v>-0.3</v>
      </c>
      <c r="F505" s="5">
        <v>-5.96</v>
      </c>
      <c r="G505" s="5">
        <v>0</v>
      </c>
      <c r="H505" s="5">
        <f t="shared" si="7"/>
        <v>48.74</v>
      </c>
    </row>
    <row r="506" spans="1:8" x14ac:dyDescent="0.45">
      <c r="A506" s="19">
        <v>45264</v>
      </c>
      <c r="B506" s="1" t="s">
        <v>85</v>
      </c>
      <c r="C506" s="1" t="s">
        <v>485</v>
      </c>
      <c r="D506" s="5">
        <v>129</v>
      </c>
      <c r="E506" s="5">
        <v>-0.3</v>
      </c>
      <c r="F506" s="5">
        <v>-14.07</v>
      </c>
      <c r="G506" s="5">
        <v>0</v>
      </c>
      <c r="H506" s="5">
        <f t="shared" si="7"/>
        <v>114.63</v>
      </c>
    </row>
    <row r="507" spans="1:8" x14ac:dyDescent="0.45">
      <c r="A507" s="19">
        <v>45266</v>
      </c>
      <c r="B507" s="1" t="s">
        <v>85</v>
      </c>
      <c r="C507" s="1" t="s">
        <v>486</v>
      </c>
      <c r="D507" s="5">
        <v>39</v>
      </c>
      <c r="E507" s="5">
        <v>-0.3</v>
      </c>
      <c r="F507" s="5">
        <v>-4.3099999999999996</v>
      </c>
      <c r="G507" s="5">
        <v>0</v>
      </c>
      <c r="H507" s="5">
        <f t="shared" si="7"/>
        <v>34.39</v>
      </c>
    </row>
    <row r="508" spans="1:8" x14ac:dyDescent="0.45">
      <c r="A508" s="19">
        <v>45267</v>
      </c>
      <c r="B508" s="1" t="s">
        <v>85</v>
      </c>
      <c r="C508" s="1" t="s">
        <v>487</v>
      </c>
      <c r="D508" s="5">
        <v>69</v>
      </c>
      <c r="E508" s="5">
        <v>-0.3</v>
      </c>
      <c r="F508" s="5">
        <v>-7.05</v>
      </c>
      <c r="G508" s="5">
        <v>0</v>
      </c>
      <c r="H508" s="5">
        <f t="shared" si="7"/>
        <v>61.650000000000006</v>
      </c>
    </row>
    <row r="509" spans="1:8" x14ac:dyDescent="0.45">
      <c r="A509" s="19">
        <v>45269</v>
      </c>
      <c r="B509" s="1" t="s">
        <v>85</v>
      </c>
      <c r="C509" s="1" t="s">
        <v>488</v>
      </c>
      <c r="D509" s="5">
        <v>49</v>
      </c>
      <c r="E509" s="5">
        <v>-0.3</v>
      </c>
      <c r="F509" s="5">
        <v>-5.31</v>
      </c>
      <c r="G509" s="5">
        <v>0</v>
      </c>
      <c r="H509" s="5">
        <f t="shared" si="7"/>
        <v>43.39</v>
      </c>
    </row>
    <row r="510" spans="1:8" x14ac:dyDescent="0.45">
      <c r="A510" s="19">
        <v>45270</v>
      </c>
      <c r="B510" s="1" t="s">
        <v>85</v>
      </c>
      <c r="C510" s="1" t="s">
        <v>489</v>
      </c>
      <c r="D510" s="5">
        <v>160</v>
      </c>
      <c r="E510" s="5">
        <v>-0.3</v>
      </c>
      <c r="F510" s="5">
        <v>-16.34</v>
      </c>
      <c r="G510" s="5">
        <v>0</v>
      </c>
      <c r="H510" s="5">
        <f t="shared" si="7"/>
        <v>143.35999999999999</v>
      </c>
    </row>
    <row r="511" spans="1:8" x14ac:dyDescent="0.45">
      <c r="A511" s="19">
        <v>45270</v>
      </c>
      <c r="B511" s="1" t="s">
        <v>85</v>
      </c>
      <c r="C511" s="1" t="s">
        <v>490</v>
      </c>
      <c r="D511" s="5">
        <v>29</v>
      </c>
      <c r="E511" s="5">
        <v>-0.3</v>
      </c>
      <c r="F511" s="5">
        <v>-3.14</v>
      </c>
      <c r="G511" s="5">
        <v>0</v>
      </c>
      <c r="H511" s="5">
        <f t="shared" si="7"/>
        <v>25.56</v>
      </c>
    </row>
    <row r="512" spans="1:8" x14ac:dyDescent="0.45">
      <c r="A512" s="19">
        <v>45270</v>
      </c>
      <c r="B512" s="1" t="s">
        <v>85</v>
      </c>
      <c r="C512" s="1" t="s">
        <v>491</v>
      </c>
      <c r="D512" s="5">
        <v>99</v>
      </c>
      <c r="E512" s="5">
        <v>-0.3</v>
      </c>
      <c r="F512" s="5">
        <v>-10.82</v>
      </c>
      <c r="G512" s="5">
        <v>0</v>
      </c>
      <c r="H512" s="5">
        <f t="shared" si="7"/>
        <v>87.88</v>
      </c>
    </row>
    <row r="513" spans="1:8" x14ac:dyDescent="0.45">
      <c r="A513" s="19">
        <v>45271</v>
      </c>
      <c r="B513" s="1" t="s">
        <v>85</v>
      </c>
      <c r="C513" s="1" t="s">
        <v>492</v>
      </c>
      <c r="D513" s="5">
        <v>15</v>
      </c>
      <c r="E513" s="5">
        <v>-0.3</v>
      </c>
      <c r="F513" s="5">
        <v>-1.61</v>
      </c>
      <c r="G513" s="5">
        <v>0</v>
      </c>
      <c r="H513" s="5">
        <f t="shared" si="7"/>
        <v>13.09</v>
      </c>
    </row>
    <row r="514" spans="1:8" x14ac:dyDescent="0.45">
      <c r="A514" s="19">
        <v>45272</v>
      </c>
      <c r="B514" s="1" t="s">
        <v>85</v>
      </c>
      <c r="C514" s="1" t="s">
        <v>493</v>
      </c>
      <c r="D514" s="5">
        <v>50</v>
      </c>
      <c r="E514" s="5">
        <v>0</v>
      </c>
      <c r="F514" s="5">
        <v>-5.1100000000000003</v>
      </c>
      <c r="G514" s="5">
        <v>0</v>
      </c>
      <c r="H514" s="5">
        <f t="shared" si="7"/>
        <v>44.89</v>
      </c>
    </row>
    <row r="515" spans="1:8" x14ac:dyDescent="0.45">
      <c r="A515" s="19">
        <v>45272</v>
      </c>
      <c r="B515" s="1" t="s">
        <v>85</v>
      </c>
      <c r="C515" s="1" t="s">
        <v>494</v>
      </c>
      <c r="D515" s="5">
        <v>50</v>
      </c>
      <c r="E515" s="5">
        <v>-0.3</v>
      </c>
      <c r="F515" s="5">
        <v>-5.1100000000000003</v>
      </c>
      <c r="G515" s="5">
        <v>0</v>
      </c>
      <c r="H515" s="5">
        <f t="shared" ref="H515:H547" si="8">D515+E515+F515</f>
        <v>44.59</v>
      </c>
    </row>
    <row r="516" spans="1:8" x14ac:dyDescent="0.45">
      <c r="A516" s="19">
        <v>45273</v>
      </c>
      <c r="B516" s="1" t="s">
        <v>85</v>
      </c>
      <c r="C516" s="1" t="s">
        <v>495</v>
      </c>
      <c r="D516" s="5">
        <v>25</v>
      </c>
      <c r="E516" s="5">
        <v>-0.3</v>
      </c>
      <c r="F516" s="5">
        <v>-2.73</v>
      </c>
      <c r="G516" s="5">
        <v>0</v>
      </c>
      <c r="H516" s="5">
        <f t="shared" si="8"/>
        <v>21.97</v>
      </c>
    </row>
    <row r="517" spans="1:8" x14ac:dyDescent="0.45">
      <c r="A517" s="19">
        <v>45273</v>
      </c>
      <c r="B517" s="1" t="s">
        <v>85</v>
      </c>
      <c r="C517" s="1" t="s">
        <v>496</v>
      </c>
      <c r="D517" s="5">
        <v>40</v>
      </c>
      <c r="E517" s="5">
        <v>-0.3</v>
      </c>
      <c r="F517" s="5">
        <v>-4.3899999999999997</v>
      </c>
      <c r="G517" s="5">
        <v>0</v>
      </c>
      <c r="H517" s="5">
        <f t="shared" si="8"/>
        <v>35.31</v>
      </c>
    </row>
    <row r="518" spans="1:8" x14ac:dyDescent="0.45">
      <c r="A518" s="19">
        <v>45273</v>
      </c>
      <c r="B518" s="1" t="s">
        <v>85</v>
      </c>
      <c r="C518" s="1" t="s">
        <v>497</v>
      </c>
      <c r="D518" s="5">
        <v>15</v>
      </c>
      <c r="E518" s="5">
        <v>-0.3</v>
      </c>
      <c r="F518" s="5">
        <v>-1.65</v>
      </c>
      <c r="G518" s="5">
        <v>0</v>
      </c>
      <c r="H518" s="5">
        <f t="shared" si="8"/>
        <v>13.049999999999999</v>
      </c>
    </row>
    <row r="519" spans="1:8" x14ac:dyDescent="0.45">
      <c r="A519" s="19">
        <v>45274</v>
      </c>
      <c r="B519" s="1" t="s">
        <v>85</v>
      </c>
      <c r="C519" s="1" t="s">
        <v>498</v>
      </c>
      <c r="D519" s="5">
        <v>19</v>
      </c>
      <c r="E519" s="5">
        <v>-0.3</v>
      </c>
      <c r="F519" s="5">
        <v>-2.12</v>
      </c>
      <c r="G519" s="5">
        <v>0</v>
      </c>
      <c r="H519" s="5">
        <f t="shared" si="8"/>
        <v>16.579999999999998</v>
      </c>
    </row>
    <row r="520" spans="1:8" x14ac:dyDescent="0.45">
      <c r="A520" s="19">
        <v>45274</v>
      </c>
      <c r="B520" s="1" t="s">
        <v>85</v>
      </c>
      <c r="C520" s="1" t="s">
        <v>118</v>
      </c>
      <c r="D520" s="5">
        <v>19</v>
      </c>
      <c r="E520" s="5">
        <v>-0.3</v>
      </c>
      <c r="F520" s="5">
        <v>-1.94</v>
      </c>
      <c r="G520" s="5">
        <v>0</v>
      </c>
      <c r="H520" s="5">
        <f t="shared" si="8"/>
        <v>16.759999999999998</v>
      </c>
    </row>
    <row r="521" spans="1:8" x14ac:dyDescent="0.45">
      <c r="A521" s="19">
        <v>45274</v>
      </c>
      <c r="B521" s="1" t="s">
        <v>85</v>
      </c>
      <c r="C521" s="1" t="s">
        <v>499</v>
      </c>
      <c r="D521" s="5">
        <v>110</v>
      </c>
      <c r="E521" s="5">
        <v>-0.3</v>
      </c>
      <c r="F521" s="5">
        <v>-11.91</v>
      </c>
      <c r="G521" s="5">
        <v>0</v>
      </c>
      <c r="H521" s="5">
        <f t="shared" si="8"/>
        <v>97.79</v>
      </c>
    </row>
    <row r="522" spans="1:8" x14ac:dyDescent="0.45">
      <c r="A522" s="19">
        <v>45274</v>
      </c>
      <c r="B522" s="1" t="s">
        <v>85</v>
      </c>
      <c r="C522" s="1" t="s">
        <v>500</v>
      </c>
      <c r="D522" s="5">
        <v>49</v>
      </c>
      <c r="E522" s="5">
        <v>-0.3</v>
      </c>
      <c r="F522" s="5">
        <v>-5.31</v>
      </c>
      <c r="G522" s="5">
        <v>0</v>
      </c>
      <c r="H522" s="5">
        <f t="shared" si="8"/>
        <v>43.39</v>
      </c>
    </row>
    <row r="523" spans="1:8" x14ac:dyDescent="0.45">
      <c r="A523" s="19">
        <v>45274</v>
      </c>
      <c r="B523" s="1" t="s">
        <v>85</v>
      </c>
      <c r="C523" s="1" t="s">
        <v>501</v>
      </c>
      <c r="D523" s="5">
        <v>29</v>
      </c>
      <c r="E523" s="5">
        <v>-0.3</v>
      </c>
      <c r="F523" s="5">
        <v>-3.19</v>
      </c>
      <c r="G523" s="5">
        <v>0</v>
      </c>
      <c r="H523" s="5">
        <f t="shared" si="8"/>
        <v>25.509999999999998</v>
      </c>
    </row>
    <row r="524" spans="1:8" x14ac:dyDescent="0.45">
      <c r="A524" s="19">
        <v>45275</v>
      </c>
      <c r="B524" s="1" t="s">
        <v>85</v>
      </c>
      <c r="C524" s="1" t="s">
        <v>502</v>
      </c>
      <c r="D524" s="5">
        <v>55</v>
      </c>
      <c r="E524" s="5">
        <v>-0.3</v>
      </c>
      <c r="F524" s="5">
        <v>-6.08</v>
      </c>
      <c r="G524" s="5">
        <v>0</v>
      </c>
      <c r="H524" s="5">
        <f t="shared" si="8"/>
        <v>48.620000000000005</v>
      </c>
    </row>
    <row r="525" spans="1:8" x14ac:dyDescent="0.45">
      <c r="A525" s="19">
        <v>45275</v>
      </c>
      <c r="B525" s="1" t="s">
        <v>85</v>
      </c>
      <c r="C525" s="1" t="s">
        <v>503</v>
      </c>
      <c r="D525" s="5">
        <v>29</v>
      </c>
      <c r="E525" s="5">
        <v>-0.3</v>
      </c>
      <c r="F525" s="5">
        <v>-3.2</v>
      </c>
      <c r="G525" s="5">
        <v>0</v>
      </c>
      <c r="H525" s="5">
        <f t="shared" si="8"/>
        <v>25.5</v>
      </c>
    </row>
    <row r="526" spans="1:8" x14ac:dyDescent="0.45">
      <c r="A526" s="19">
        <v>45278</v>
      </c>
      <c r="B526" s="1" t="s">
        <v>85</v>
      </c>
      <c r="C526" s="1" t="s">
        <v>504</v>
      </c>
      <c r="D526" s="5">
        <v>45</v>
      </c>
      <c r="E526" s="5">
        <v>-0.3</v>
      </c>
      <c r="F526" s="5">
        <v>-4.9000000000000004</v>
      </c>
      <c r="G526" s="5">
        <v>0</v>
      </c>
      <c r="H526" s="5">
        <f t="shared" si="8"/>
        <v>39.800000000000004</v>
      </c>
    </row>
    <row r="527" spans="1:8" x14ac:dyDescent="0.45">
      <c r="A527" s="19">
        <v>45278</v>
      </c>
      <c r="B527" s="1" t="s">
        <v>85</v>
      </c>
      <c r="C527" s="1" t="s">
        <v>435</v>
      </c>
      <c r="D527" s="5">
        <v>19</v>
      </c>
      <c r="E527" s="5">
        <v>-0.3</v>
      </c>
      <c r="F527" s="5">
        <v>-2.08</v>
      </c>
      <c r="G527" s="5">
        <v>0</v>
      </c>
      <c r="H527" s="5">
        <f t="shared" si="8"/>
        <v>16.619999999999997</v>
      </c>
    </row>
    <row r="528" spans="1:8" x14ac:dyDescent="0.45">
      <c r="A528" s="19">
        <v>45280</v>
      </c>
      <c r="B528" s="1" t="s">
        <v>85</v>
      </c>
      <c r="C528" s="1" t="s">
        <v>505</v>
      </c>
      <c r="D528" s="5">
        <v>33</v>
      </c>
      <c r="E528" s="5">
        <v>-0.3</v>
      </c>
      <c r="F528" s="5">
        <v>-3.6</v>
      </c>
      <c r="G528" s="5">
        <v>0</v>
      </c>
      <c r="H528" s="5">
        <f t="shared" si="8"/>
        <v>29.1</v>
      </c>
    </row>
    <row r="529" spans="1:8" x14ac:dyDescent="0.45">
      <c r="A529" s="19">
        <v>45280</v>
      </c>
      <c r="B529" s="1" t="s">
        <v>85</v>
      </c>
      <c r="C529" s="1" t="s">
        <v>506</v>
      </c>
      <c r="D529" s="5">
        <v>59</v>
      </c>
      <c r="E529" s="5">
        <v>-0.3</v>
      </c>
      <c r="F529" s="5">
        <v>-6.43</v>
      </c>
      <c r="G529" s="5">
        <v>0</v>
      </c>
      <c r="H529" s="5">
        <f t="shared" si="8"/>
        <v>52.27</v>
      </c>
    </row>
    <row r="530" spans="1:8" x14ac:dyDescent="0.45">
      <c r="A530" s="19">
        <v>45281</v>
      </c>
      <c r="B530" s="1" t="s">
        <v>85</v>
      </c>
      <c r="C530" s="1" t="s">
        <v>507</v>
      </c>
      <c r="D530" s="5">
        <v>29</v>
      </c>
      <c r="E530" s="5">
        <v>-0.3</v>
      </c>
      <c r="F530" s="5">
        <v>-3.17</v>
      </c>
      <c r="G530" s="5">
        <v>0</v>
      </c>
      <c r="H530" s="5">
        <f t="shared" si="8"/>
        <v>25.53</v>
      </c>
    </row>
    <row r="531" spans="1:8" x14ac:dyDescent="0.45">
      <c r="A531" s="19">
        <v>45281</v>
      </c>
      <c r="B531" s="1" t="s">
        <v>85</v>
      </c>
      <c r="C531" s="1" t="s">
        <v>508</v>
      </c>
      <c r="D531" s="5">
        <v>44</v>
      </c>
      <c r="E531" s="5">
        <v>-0.3</v>
      </c>
      <c r="F531" s="5">
        <v>-4.8499999999999996</v>
      </c>
      <c r="G531" s="5">
        <v>0</v>
      </c>
      <c r="H531" s="5">
        <f t="shared" si="8"/>
        <v>38.85</v>
      </c>
    </row>
    <row r="532" spans="1:8" x14ac:dyDescent="0.45">
      <c r="A532" s="19">
        <v>45281</v>
      </c>
      <c r="B532" s="1" t="s">
        <v>85</v>
      </c>
      <c r="C532" s="1" t="s">
        <v>509</v>
      </c>
      <c r="D532" s="5">
        <v>16</v>
      </c>
      <c r="E532" s="5">
        <v>-0.3</v>
      </c>
      <c r="F532" s="5">
        <v>-1.77</v>
      </c>
      <c r="G532" s="5">
        <v>0</v>
      </c>
      <c r="H532" s="5">
        <f t="shared" si="8"/>
        <v>13.93</v>
      </c>
    </row>
    <row r="533" spans="1:8" x14ac:dyDescent="0.45">
      <c r="A533" s="19">
        <v>45281</v>
      </c>
      <c r="B533" s="1" t="s">
        <v>85</v>
      </c>
      <c r="C533" s="1" t="s">
        <v>510</v>
      </c>
      <c r="D533" s="5">
        <v>29</v>
      </c>
      <c r="E533" s="5">
        <v>-0.3</v>
      </c>
      <c r="F533" s="5">
        <v>-2.96</v>
      </c>
      <c r="G533" s="5">
        <v>0</v>
      </c>
      <c r="H533" s="5">
        <f t="shared" si="8"/>
        <v>25.74</v>
      </c>
    </row>
    <row r="534" spans="1:8" x14ac:dyDescent="0.45">
      <c r="A534" s="19">
        <v>45282</v>
      </c>
      <c r="B534" s="1" t="s">
        <v>85</v>
      </c>
      <c r="C534" s="1" t="s">
        <v>511</v>
      </c>
      <c r="D534" s="5">
        <v>50</v>
      </c>
      <c r="E534" s="5">
        <v>-0.3</v>
      </c>
      <c r="F534" s="5">
        <v>-5.48</v>
      </c>
      <c r="G534" s="5">
        <v>0</v>
      </c>
      <c r="H534" s="5">
        <f t="shared" si="8"/>
        <v>44.22</v>
      </c>
    </row>
    <row r="535" spans="1:8" x14ac:dyDescent="0.45">
      <c r="A535" s="19">
        <v>45282</v>
      </c>
      <c r="B535" s="1" t="s">
        <v>85</v>
      </c>
      <c r="C535" s="1" t="s">
        <v>512</v>
      </c>
      <c r="D535" s="5">
        <v>45</v>
      </c>
      <c r="E535" s="5">
        <v>-0.3</v>
      </c>
      <c r="F535" s="5">
        <v>-4.9800000000000004</v>
      </c>
      <c r="G535" s="5">
        <v>0</v>
      </c>
      <c r="H535" s="5">
        <f t="shared" si="8"/>
        <v>39.72</v>
      </c>
    </row>
    <row r="536" spans="1:8" x14ac:dyDescent="0.45">
      <c r="A536" s="19">
        <v>45282</v>
      </c>
      <c r="B536" s="1" t="s">
        <v>85</v>
      </c>
      <c r="C536" s="1" t="s">
        <v>513</v>
      </c>
      <c r="D536" s="5">
        <v>29</v>
      </c>
      <c r="E536" s="5">
        <v>-0.3</v>
      </c>
      <c r="F536" s="5">
        <v>-3.17</v>
      </c>
      <c r="G536" s="5">
        <v>0</v>
      </c>
      <c r="H536" s="5">
        <f t="shared" si="8"/>
        <v>25.53</v>
      </c>
    </row>
    <row r="537" spans="1:8" x14ac:dyDescent="0.45">
      <c r="A537" s="19">
        <v>45282</v>
      </c>
      <c r="B537" s="1" t="s">
        <v>85</v>
      </c>
      <c r="C537" s="1" t="s">
        <v>514</v>
      </c>
      <c r="D537" s="5">
        <v>15</v>
      </c>
      <c r="E537" s="5">
        <v>-0.3</v>
      </c>
      <c r="F537" s="5">
        <v>-1.67</v>
      </c>
      <c r="G537" s="5">
        <v>0</v>
      </c>
      <c r="H537" s="5">
        <f t="shared" si="8"/>
        <v>13.03</v>
      </c>
    </row>
    <row r="538" spans="1:8" x14ac:dyDescent="0.45">
      <c r="A538" s="19">
        <v>45283</v>
      </c>
      <c r="B538" s="1" t="s">
        <v>85</v>
      </c>
      <c r="C538" s="1" t="s">
        <v>510</v>
      </c>
      <c r="D538" s="5">
        <v>29</v>
      </c>
      <c r="E538" s="5">
        <v>-0.3</v>
      </c>
      <c r="F538" s="5">
        <v>-3.3</v>
      </c>
      <c r="G538" s="5">
        <v>0</v>
      </c>
      <c r="H538" s="5">
        <f t="shared" si="8"/>
        <v>25.4</v>
      </c>
    </row>
    <row r="539" spans="1:8" x14ac:dyDescent="0.45">
      <c r="A539" s="19">
        <v>45284</v>
      </c>
      <c r="B539" s="1" t="s">
        <v>85</v>
      </c>
      <c r="C539" s="1" t="s">
        <v>515</v>
      </c>
      <c r="D539" s="5">
        <v>19</v>
      </c>
      <c r="E539" s="5">
        <v>-0.3</v>
      </c>
      <c r="F539" s="5">
        <v>-2.0499999999999998</v>
      </c>
      <c r="G539" s="5">
        <v>0</v>
      </c>
      <c r="H539" s="5">
        <f t="shared" si="8"/>
        <v>16.649999999999999</v>
      </c>
    </row>
    <row r="540" spans="1:8" x14ac:dyDescent="0.45">
      <c r="A540" s="19">
        <v>45285</v>
      </c>
      <c r="B540" s="1" t="s">
        <v>85</v>
      </c>
      <c r="C540" s="1" t="s">
        <v>516</v>
      </c>
      <c r="D540" s="5">
        <v>55</v>
      </c>
      <c r="E540" s="5">
        <v>-0.3</v>
      </c>
      <c r="F540" s="5">
        <v>-6.09</v>
      </c>
      <c r="G540" s="5">
        <v>0</v>
      </c>
      <c r="H540" s="5">
        <f t="shared" si="8"/>
        <v>48.61</v>
      </c>
    </row>
    <row r="541" spans="1:8" x14ac:dyDescent="0.45">
      <c r="A541" s="19">
        <v>45285</v>
      </c>
      <c r="B541" s="1" t="s">
        <v>85</v>
      </c>
      <c r="C541" s="1" t="s">
        <v>517</v>
      </c>
      <c r="D541" s="5">
        <v>49</v>
      </c>
      <c r="E541" s="5">
        <v>-0.3</v>
      </c>
      <c r="F541" s="5">
        <v>-5.31</v>
      </c>
      <c r="G541" s="5">
        <v>0</v>
      </c>
      <c r="H541" s="5">
        <f t="shared" si="8"/>
        <v>43.39</v>
      </c>
    </row>
    <row r="542" spans="1:8" x14ac:dyDescent="0.45">
      <c r="A542" s="19">
        <v>45286</v>
      </c>
      <c r="B542" s="1" t="s">
        <v>85</v>
      </c>
      <c r="C542" s="1" t="s">
        <v>518</v>
      </c>
      <c r="D542" s="5">
        <v>10</v>
      </c>
      <c r="E542" s="5">
        <v>-0.3</v>
      </c>
      <c r="F542" s="5">
        <v>-1.1100000000000001</v>
      </c>
      <c r="G542" s="5">
        <v>0</v>
      </c>
      <c r="H542" s="5">
        <f t="shared" si="8"/>
        <v>8.59</v>
      </c>
    </row>
    <row r="543" spans="1:8" x14ac:dyDescent="0.45">
      <c r="A543" s="19">
        <v>45286</v>
      </c>
      <c r="B543" s="1" t="s">
        <v>91</v>
      </c>
      <c r="C543" s="1" t="s">
        <v>509</v>
      </c>
      <c r="D543" s="5">
        <v>0</v>
      </c>
      <c r="E543" s="5">
        <v>0</v>
      </c>
      <c r="F543" s="5">
        <v>0</v>
      </c>
      <c r="G543" s="5">
        <v>-14.23</v>
      </c>
      <c r="H543" s="5">
        <f t="shared" si="8"/>
        <v>0</v>
      </c>
    </row>
    <row r="544" spans="1:8" x14ac:dyDescent="0.45">
      <c r="A544" s="19">
        <v>45286</v>
      </c>
      <c r="B544" s="1" t="s">
        <v>85</v>
      </c>
      <c r="C544" s="1" t="s">
        <v>519</v>
      </c>
      <c r="D544" s="5">
        <v>39</v>
      </c>
      <c r="E544" s="5">
        <v>-0.3</v>
      </c>
      <c r="F544" s="5">
        <v>-4.32</v>
      </c>
      <c r="G544" s="5">
        <v>0</v>
      </c>
      <c r="H544" s="5">
        <f t="shared" si="8"/>
        <v>34.380000000000003</v>
      </c>
    </row>
    <row r="545" spans="1:8" x14ac:dyDescent="0.45">
      <c r="A545" s="19">
        <v>45287</v>
      </c>
      <c r="B545" s="1" t="s">
        <v>85</v>
      </c>
      <c r="C545" s="1" t="s">
        <v>520</v>
      </c>
      <c r="D545" s="5">
        <v>109</v>
      </c>
      <c r="E545" s="5">
        <v>-0.3</v>
      </c>
      <c r="F545" s="5">
        <v>-11.94</v>
      </c>
      <c r="G545" s="5">
        <v>0</v>
      </c>
      <c r="H545" s="5">
        <f t="shared" si="8"/>
        <v>96.76</v>
      </c>
    </row>
    <row r="546" spans="1:8" x14ac:dyDescent="0.45">
      <c r="A546" s="19">
        <v>45287</v>
      </c>
      <c r="B546" s="1" t="s">
        <v>85</v>
      </c>
      <c r="C546" s="1" t="s">
        <v>521</v>
      </c>
      <c r="D546" s="5">
        <v>35</v>
      </c>
      <c r="E546" s="5">
        <v>-0.3</v>
      </c>
      <c r="F546" s="5">
        <v>-3.79</v>
      </c>
      <c r="G546" s="5">
        <v>0</v>
      </c>
      <c r="H546" s="5">
        <f t="shared" si="8"/>
        <v>30.910000000000004</v>
      </c>
    </row>
    <row r="547" spans="1:8" x14ac:dyDescent="0.45">
      <c r="A547" s="19">
        <v>45288</v>
      </c>
      <c r="B547" s="1" t="s">
        <v>85</v>
      </c>
      <c r="C547" s="1" t="s">
        <v>522</v>
      </c>
      <c r="D547" s="5">
        <v>33</v>
      </c>
      <c r="E547" s="5">
        <v>-0.3</v>
      </c>
      <c r="F547" s="5">
        <v>-3.57</v>
      </c>
      <c r="G547" s="5">
        <v>0</v>
      </c>
      <c r="H547" s="5">
        <f t="shared" si="8"/>
        <v>29.130000000000003</v>
      </c>
    </row>
    <row r="548" spans="1:8" x14ac:dyDescent="0.45">
      <c r="A548" s="2"/>
      <c r="B548" s="1"/>
      <c r="C548" s="1"/>
      <c r="D548" s="1"/>
      <c r="E548" s="1"/>
      <c r="F548" s="1"/>
      <c r="G548" s="1"/>
    </row>
    <row r="549" spans="1:8" x14ac:dyDescent="0.45">
      <c r="A549" s="2"/>
      <c r="B549" s="1"/>
      <c r="C549" s="20" t="s">
        <v>6</v>
      </c>
      <c r="D549" s="5">
        <f>SUM(D2:D547)</f>
        <v>26312.73</v>
      </c>
      <c r="E549" s="5">
        <f>SUM(E2:E547)</f>
        <v>-157.80000000000027</v>
      </c>
      <c r="F549" s="5">
        <f>SUM(F2:F547)</f>
        <v>-2905.1699999999992</v>
      </c>
      <c r="G549" s="5">
        <f>SUM(G2:G547)</f>
        <v>-420.1</v>
      </c>
      <c r="H549" s="5">
        <f>SUM(H2:H547)</f>
        <v>23249.759999999977</v>
      </c>
    </row>
    <row r="550" spans="1:8" x14ac:dyDescent="0.45">
      <c r="A550" s="2"/>
      <c r="B550" s="1"/>
      <c r="C550" s="1"/>
      <c r="D550" s="1"/>
      <c r="E550" s="1"/>
      <c r="F550" s="1"/>
      <c r="G550" s="1"/>
    </row>
    <row r="551" spans="1:8" x14ac:dyDescent="0.45">
      <c r="A551" s="2"/>
      <c r="B551" s="1"/>
      <c r="C551" s="1"/>
      <c r="D551" s="1"/>
      <c r="E551" s="1"/>
      <c r="F551" s="1"/>
      <c r="G551" s="1"/>
    </row>
    <row r="552" spans="1:8" x14ac:dyDescent="0.45">
      <c r="A552" s="2"/>
      <c r="B552" s="1"/>
      <c r="C552" s="1"/>
      <c r="D552" s="1"/>
      <c r="E552" s="1"/>
      <c r="F552" s="1"/>
      <c r="G552" s="1"/>
    </row>
    <row r="553" spans="1:8" x14ac:dyDescent="0.45">
      <c r="A553" s="2"/>
      <c r="B553" s="1"/>
      <c r="C553" s="1"/>
      <c r="D553" s="1"/>
      <c r="E553" s="1"/>
      <c r="F553" s="1"/>
      <c r="G553" s="1"/>
    </row>
    <row r="554" spans="1:8" x14ac:dyDescent="0.45">
      <c r="A554" s="2"/>
      <c r="B554" s="1"/>
      <c r="C554" s="1"/>
      <c r="D554" s="1"/>
      <c r="E554" s="1"/>
      <c r="F554" s="1"/>
      <c r="G554" s="1"/>
    </row>
    <row r="555" spans="1:8" x14ac:dyDescent="0.45">
      <c r="A555" s="2"/>
      <c r="B555" s="1"/>
      <c r="C555" s="1"/>
      <c r="D555" s="1"/>
      <c r="E555" s="1"/>
      <c r="F555" s="1"/>
      <c r="G555" s="1"/>
    </row>
    <row r="556" spans="1:8" x14ac:dyDescent="0.45">
      <c r="A556" s="2"/>
      <c r="B556" s="1"/>
      <c r="C556" s="1"/>
      <c r="D556" s="1"/>
      <c r="E556" s="1"/>
      <c r="F556" s="1"/>
      <c r="G556" s="1"/>
    </row>
    <row r="557" spans="1:8" x14ac:dyDescent="0.45">
      <c r="A557" s="2"/>
      <c r="B557" s="1"/>
      <c r="C557" s="1"/>
      <c r="D557" s="1"/>
      <c r="E557" s="1"/>
      <c r="F557" s="1"/>
      <c r="G557" s="1"/>
    </row>
    <row r="558" spans="1:8" x14ac:dyDescent="0.45">
      <c r="A558" s="2"/>
      <c r="B558" s="1"/>
      <c r="C558" s="1"/>
      <c r="D558" s="1"/>
      <c r="E558" s="1"/>
      <c r="F558" s="1"/>
      <c r="G558" s="1"/>
    </row>
    <row r="559" spans="1:8" x14ac:dyDescent="0.45">
      <c r="A559" s="2"/>
      <c r="B559" s="1"/>
      <c r="C559" s="1"/>
      <c r="D559" s="1"/>
      <c r="E559" s="1"/>
      <c r="F559" s="1"/>
      <c r="G559" s="1"/>
    </row>
    <row r="560" spans="1:8" x14ac:dyDescent="0.45">
      <c r="A560" s="2"/>
      <c r="B560" s="1"/>
      <c r="C560" s="1"/>
      <c r="D560" s="1"/>
      <c r="E560" s="1"/>
      <c r="F560" s="1"/>
      <c r="G560" s="1"/>
    </row>
    <row r="561" spans="1:7" x14ac:dyDescent="0.45">
      <c r="A561" s="2"/>
      <c r="B561" s="1"/>
      <c r="C561" s="1"/>
      <c r="D561" s="1"/>
      <c r="E561" s="1"/>
      <c r="F561" s="1"/>
      <c r="G561" s="1"/>
    </row>
    <row r="562" spans="1:7" x14ac:dyDescent="0.45">
      <c r="A562" s="2"/>
      <c r="B562" s="1"/>
      <c r="C562" s="1"/>
      <c r="D562" s="1"/>
      <c r="E562" s="1"/>
      <c r="F562" s="1"/>
      <c r="G562" s="1"/>
    </row>
    <row r="563" spans="1:7" x14ac:dyDescent="0.45">
      <c r="A563" s="2"/>
      <c r="B563" s="1"/>
      <c r="C563" s="1"/>
      <c r="D563" s="1"/>
      <c r="E563" s="1"/>
      <c r="F563" s="1"/>
      <c r="G563" s="1"/>
    </row>
    <row r="564" spans="1:7" x14ac:dyDescent="0.45">
      <c r="A564" s="2"/>
      <c r="B564" s="1"/>
      <c r="C564" s="1"/>
      <c r="D564" s="1"/>
      <c r="E564" s="1"/>
      <c r="F564" s="1"/>
      <c r="G564" s="1"/>
    </row>
    <row r="565" spans="1:7" x14ac:dyDescent="0.45">
      <c r="A565" s="2"/>
      <c r="B565" s="1"/>
      <c r="C565" s="1"/>
      <c r="D565" s="1"/>
      <c r="E565" s="1"/>
      <c r="F565" s="1"/>
      <c r="G565" s="1"/>
    </row>
    <row r="566" spans="1:7" x14ac:dyDescent="0.45">
      <c r="A566" s="2"/>
      <c r="B566" s="1"/>
      <c r="C566" s="1"/>
      <c r="D566" s="1"/>
      <c r="E566" s="1"/>
      <c r="F566" s="1"/>
      <c r="G566" s="1"/>
    </row>
    <row r="567" spans="1:7" x14ac:dyDescent="0.45">
      <c r="A567" s="2"/>
      <c r="B567" s="1"/>
      <c r="C567" s="1"/>
      <c r="D567" s="1"/>
      <c r="E567" s="1"/>
      <c r="F567" s="1"/>
      <c r="G567" s="1"/>
    </row>
    <row r="568" spans="1:7" x14ac:dyDescent="0.45">
      <c r="A568" s="2"/>
      <c r="B568" s="1"/>
      <c r="C568" s="1"/>
      <c r="D568" s="1"/>
      <c r="E568" s="1"/>
      <c r="F568" s="1"/>
      <c r="G568" s="1"/>
    </row>
    <row r="569" spans="1:7" x14ac:dyDescent="0.45">
      <c r="A569" s="2"/>
      <c r="B569" s="1"/>
      <c r="C569" s="1"/>
      <c r="D569" s="1"/>
      <c r="E569" s="1"/>
      <c r="F569" s="1"/>
      <c r="G569" s="1"/>
    </row>
    <row r="570" spans="1:7" x14ac:dyDescent="0.45">
      <c r="A570" s="2"/>
      <c r="B570" s="1"/>
      <c r="C570" s="1"/>
      <c r="D570" s="1"/>
      <c r="E570" s="1"/>
      <c r="F570" s="1"/>
      <c r="G570" s="1"/>
    </row>
    <row r="571" spans="1:7" x14ac:dyDescent="0.45">
      <c r="A571" s="2"/>
      <c r="B571" s="1"/>
      <c r="C571" s="1"/>
      <c r="D571" s="1"/>
      <c r="E571" s="1"/>
      <c r="F571" s="1"/>
      <c r="G571" s="1"/>
    </row>
    <row r="572" spans="1:7" x14ac:dyDescent="0.45">
      <c r="A572" s="2"/>
      <c r="B572" s="1"/>
      <c r="C572" s="1"/>
      <c r="D572" s="1"/>
      <c r="E572" s="1"/>
      <c r="F572" s="1"/>
      <c r="G572" s="1"/>
    </row>
    <row r="573" spans="1:7" x14ac:dyDescent="0.45">
      <c r="A573" s="2"/>
      <c r="B573" s="1"/>
      <c r="C573" s="1"/>
      <c r="D573" s="1"/>
      <c r="E573" s="1"/>
      <c r="F573" s="1"/>
      <c r="G573" s="1"/>
    </row>
    <row r="574" spans="1:7" x14ac:dyDescent="0.45">
      <c r="A574" s="2"/>
      <c r="B574" s="1"/>
      <c r="C574" s="1"/>
      <c r="D574" s="1"/>
      <c r="E574" s="1"/>
      <c r="F574" s="1"/>
      <c r="G574" s="1"/>
    </row>
    <row r="575" spans="1:7" x14ac:dyDescent="0.45">
      <c r="A575" s="2"/>
      <c r="B575" s="1"/>
      <c r="C575" s="1"/>
      <c r="D575" s="1"/>
      <c r="E575" s="1"/>
      <c r="F575" s="1"/>
      <c r="G575" s="1"/>
    </row>
    <row r="576" spans="1:7" x14ac:dyDescent="0.45">
      <c r="A576" s="2"/>
      <c r="B576" s="1"/>
      <c r="C576" s="1"/>
      <c r="D576" s="1"/>
      <c r="E576" s="1"/>
      <c r="F576" s="1"/>
      <c r="G576" s="1"/>
    </row>
    <row r="577" spans="1:7" x14ac:dyDescent="0.45">
      <c r="A577" s="2"/>
      <c r="B577" s="1"/>
      <c r="C577" s="1"/>
      <c r="D577" s="1"/>
      <c r="E577" s="1"/>
      <c r="F577" s="1"/>
      <c r="G577" s="1"/>
    </row>
    <row r="578" spans="1:7" x14ac:dyDescent="0.45">
      <c r="A578" s="2"/>
      <c r="B578" s="1"/>
      <c r="C578" s="1"/>
      <c r="D578" s="1"/>
      <c r="E578" s="1"/>
      <c r="F578" s="1"/>
      <c r="G578" s="1"/>
    </row>
    <row r="579" spans="1:7" x14ac:dyDescent="0.45">
      <c r="A579" s="2"/>
      <c r="B579" s="1"/>
      <c r="C579" s="1"/>
      <c r="D579" s="1"/>
      <c r="E579" s="1"/>
      <c r="F579" s="1"/>
      <c r="G579" s="1"/>
    </row>
    <row r="580" spans="1:7" x14ac:dyDescent="0.45">
      <c r="A580" s="2"/>
      <c r="B580" s="1"/>
      <c r="C580" s="1"/>
      <c r="D580" s="1"/>
      <c r="E580" s="1"/>
      <c r="F580" s="1"/>
      <c r="G580" s="1"/>
    </row>
    <row r="581" spans="1:7" x14ac:dyDescent="0.45">
      <c r="A581" s="2"/>
      <c r="B581" s="1"/>
      <c r="C581" s="1"/>
      <c r="D581" s="1"/>
      <c r="E581" s="1"/>
      <c r="F581" s="1"/>
      <c r="G581" s="1"/>
    </row>
    <row r="582" spans="1:7" x14ac:dyDescent="0.45">
      <c r="A582" s="2"/>
      <c r="B582" s="1"/>
      <c r="C582" s="1"/>
      <c r="D582" s="1"/>
      <c r="E582" s="1"/>
      <c r="F582" s="1"/>
      <c r="G582" s="1"/>
    </row>
    <row r="583" spans="1:7" x14ac:dyDescent="0.45">
      <c r="A583" s="2"/>
      <c r="B583" s="1"/>
      <c r="C583" s="1"/>
      <c r="D583" s="1"/>
      <c r="E583" s="1"/>
      <c r="F583" s="1"/>
      <c r="G583" s="1"/>
    </row>
    <row r="584" spans="1:7" x14ac:dyDescent="0.45">
      <c r="A584" s="2"/>
      <c r="B584" s="1"/>
      <c r="C584" s="1"/>
      <c r="D584" s="1"/>
      <c r="E584" s="1"/>
      <c r="F584" s="1"/>
      <c r="G584" s="1"/>
    </row>
    <row r="585" spans="1:7" x14ac:dyDescent="0.45">
      <c r="A585" s="2"/>
      <c r="B585" s="1"/>
      <c r="C585" s="1"/>
      <c r="D585" s="1"/>
      <c r="E585" s="1"/>
      <c r="F585" s="1"/>
      <c r="G585" s="1"/>
    </row>
    <row r="586" spans="1:7" x14ac:dyDescent="0.45">
      <c r="A586" s="2"/>
      <c r="B586" s="1"/>
      <c r="C586" s="1"/>
      <c r="D586" s="1"/>
      <c r="E586" s="1"/>
      <c r="F586" s="1"/>
      <c r="G586" s="1"/>
    </row>
    <row r="588" spans="1:7" x14ac:dyDescent="0.45">
      <c r="C588" s="3"/>
      <c r="D588" s="1"/>
      <c r="E588" s="1"/>
      <c r="F588" s="1"/>
      <c r="G588" s="1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C561"/>
  <sheetViews>
    <sheetView workbookViewId="0">
      <pane ySplit="1" topLeftCell="A2" activePane="bottomLeft" state="frozen"/>
      <selection pane="bottomLeft"/>
    </sheetView>
  </sheetViews>
  <sheetFormatPr defaultColWidth="9.1328125" defaultRowHeight="14.25" x14ac:dyDescent="0.45"/>
  <cols>
    <col min="1" max="1" width="14.53125" style="18" customWidth="1"/>
    <col min="2" max="2" width="23.1328125" style="1" customWidth="1"/>
    <col min="3" max="3" width="13.265625" customWidth="1"/>
    <col min="4" max="16384" width="9.1328125" style="1"/>
  </cols>
  <sheetData>
    <row r="1" spans="1:3" x14ac:dyDescent="0.45">
      <c r="A1" s="17" t="s">
        <v>0</v>
      </c>
      <c r="B1" s="3" t="s">
        <v>2</v>
      </c>
      <c r="C1" s="4" t="s">
        <v>51</v>
      </c>
    </row>
    <row r="2" spans="1:3" x14ac:dyDescent="0.45">
      <c r="A2" s="19">
        <v>44930</v>
      </c>
      <c r="B2" s="1" t="s">
        <v>77</v>
      </c>
      <c r="C2" s="1">
        <v>-8.0500000000000007</v>
      </c>
    </row>
    <row r="3" spans="1:3" x14ac:dyDescent="0.45">
      <c r="A3" s="19">
        <v>44931</v>
      </c>
      <c r="B3" s="1" t="s">
        <v>77</v>
      </c>
      <c r="C3" s="1">
        <v>-4.28</v>
      </c>
    </row>
    <row r="4" spans="1:3" x14ac:dyDescent="0.45">
      <c r="A4" s="19">
        <v>44931</v>
      </c>
      <c r="B4" s="1" t="s">
        <v>77</v>
      </c>
      <c r="C4" s="1">
        <v>2.46</v>
      </c>
    </row>
    <row r="5" spans="1:3" x14ac:dyDescent="0.45">
      <c r="A5" s="19">
        <v>44932</v>
      </c>
      <c r="B5" s="1" t="s">
        <v>77</v>
      </c>
      <c r="C5" s="1">
        <v>-9.59</v>
      </c>
    </row>
    <row r="6" spans="1:3" x14ac:dyDescent="0.45">
      <c r="A6" s="19">
        <v>44933</v>
      </c>
      <c r="B6" s="1" t="s">
        <v>77</v>
      </c>
      <c r="C6" s="1">
        <v>-8.82</v>
      </c>
    </row>
    <row r="7" spans="1:3" x14ac:dyDescent="0.45">
      <c r="A7" s="19">
        <v>44940</v>
      </c>
      <c r="B7" s="1" t="s">
        <v>77</v>
      </c>
      <c r="C7" s="1">
        <v>-8.0500000000000007</v>
      </c>
    </row>
    <row r="8" spans="1:3" x14ac:dyDescent="0.45">
      <c r="A8" s="19">
        <v>44943</v>
      </c>
      <c r="B8" s="1" t="s">
        <v>77</v>
      </c>
      <c r="C8" s="1">
        <v>-4.0599999999999996</v>
      </c>
    </row>
    <row r="9" spans="1:3" x14ac:dyDescent="0.45">
      <c r="A9" s="19">
        <v>44943</v>
      </c>
      <c r="B9" s="1" t="s">
        <v>77</v>
      </c>
      <c r="C9" s="1">
        <v>-4.67</v>
      </c>
    </row>
    <row r="10" spans="1:3" x14ac:dyDescent="0.45">
      <c r="A10" s="19">
        <v>44943</v>
      </c>
      <c r="B10" s="1" t="s">
        <v>77</v>
      </c>
      <c r="C10" s="1">
        <v>-7.97</v>
      </c>
    </row>
    <row r="11" spans="1:3" x14ac:dyDescent="0.45">
      <c r="A11" s="19">
        <v>44944</v>
      </c>
      <c r="B11" s="1" t="s">
        <v>77</v>
      </c>
      <c r="C11" s="1">
        <v>-8.82</v>
      </c>
    </row>
    <row r="12" spans="1:3" x14ac:dyDescent="0.45">
      <c r="A12" s="19">
        <v>44946</v>
      </c>
      <c r="B12" s="1" t="s">
        <v>77</v>
      </c>
      <c r="C12" s="1">
        <v>-21.64</v>
      </c>
    </row>
    <row r="13" spans="1:3" x14ac:dyDescent="0.45">
      <c r="A13" s="19">
        <v>44947</v>
      </c>
      <c r="B13" s="1" t="s">
        <v>77</v>
      </c>
      <c r="C13" s="1">
        <v>-8.31</v>
      </c>
    </row>
    <row r="14" spans="1:3" x14ac:dyDescent="0.45">
      <c r="A14" s="19">
        <v>44949</v>
      </c>
      <c r="B14" s="1" t="s">
        <v>77</v>
      </c>
      <c r="C14" s="1">
        <v>-8.5</v>
      </c>
    </row>
    <row r="15" spans="1:3" x14ac:dyDescent="0.45">
      <c r="A15" s="19">
        <v>44949</v>
      </c>
      <c r="B15" s="1" t="s">
        <v>77</v>
      </c>
      <c r="C15" s="1">
        <v>-8.82</v>
      </c>
    </row>
    <row r="16" spans="1:3" x14ac:dyDescent="0.45">
      <c r="A16" s="19">
        <v>44949</v>
      </c>
      <c r="B16" s="1" t="s">
        <v>77</v>
      </c>
      <c r="C16" s="1">
        <v>-6.22</v>
      </c>
    </row>
    <row r="17" spans="1:3" x14ac:dyDescent="0.45">
      <c r="A17" s="19">
        <v>44949</v>
      </c>
      <c r="B17" s="1" t="s">
        <v>77</v>
      </c>
      <c r="C17" s="1">
        <v>-8.82</v>
      </c>
    </row>
    <row r="18" spans="1:3" x14ac:dyDescent="0.45">
      <c r="A18" s="19">
        <v>44949</v>
      </c>
      <c r="B18" s="1" t="s">
        <v>77</v>
      </c>
      <c r="C18" s="1">
        <v>-8.82</v>
      </c>
    </row>
    <row r="19" spans="1:3" x14ac:dyDescent="0.45">
      <c r="A19" s="19">
        <v>44950</v>
      </c>
      <c r="B19" s="1" t="s">
        <v>77</v>
      </c>
      <c r="C19" s="1">
        <v>-17.489999999999998</v>
      </c>
    </row>
    <row r="20" spans="1:3" x14ac:dyDescent="0.45">
      <c r="A20" s="19">
        <v>44950</v>
      </c>
      <c r="B20" s="1" t="s">
        <v>77</v>
      </c>
      <c r="C20" s="1">
        <v>-4.3499999999999996</v>
      </c>
    </row>
    <row r="21" spans="1:3" x14ac:dyDescent="0.45">
      <c r="A21" s="19">
        <v>44950</v>
      </c>
      <c r="B21" s="1" t="s">
        <v>77</v>
      </c>
      <c r="C21" s="1">
        <v>-8.18</v>
      </c>
    </row>
    <row r="22" spans="1:3" x14ac:dyDescent="0.45">
      <c r="A22" s="19">
        <v>44950</v>
      </c>
      <c r="B22" s="1" t="s">
        <v>77</v>
      </c>
      <c r="C22" s="1">
        <v>-14.86</v>
      </c>
    </row>
    <row r="23" spans="1:3" x14ac:dyDescent="0.45">
      <c r="A23" s="19">
        <v>44951</v>
      </c>
      <c r="B23" s="1" t="s">
        <v>77</v>
      </c>
      <c r="C23" s="1">
        <v>-8.82</v>
      </c>
    </row>
    <row r="24" spans="1:3" x14ac:dyDescent="0.45">
      <c r="A24" s="19">
        <v>44952</v>
      </c>
      <c r="B24" s="1" t="s">
        <v>77</v>
      </c>
      <c r="C24" s="1">
        <v>-14</v>
      </c>
    </row>
    <row r="25" spans="1:3" x14ac:dyDescent="0.45">
      <c r="A25" s="19">
        <v>44953</v>
      </c>
      <c r="B25" s="1" t="s">
        <v>77</v>
      </c>
      <c r="C25" s="1">
        <v>-9.15</v>
      </c>
    </row>
    <row r="26" spans="1:3" x14ac:dyDescent="0.45">
      <c r="A26" s="19">
        <v>44953</v>
      </c>
      <c r="B26" s="1" t="s">
        <v>77</v>
      </c>
      <c r="C26" s="1">
        <v>-14</v>
      </c>
    </row>
    <row r="27" spans="1:3" x14ac:dyDescent="0.45">
      <c r="A27" s="19">
        <v>44956</v>
      </c>
      <c r="B27" s="1" t="s">
        <v>77</v>
      </c>
      <c r="C27" s="1">
        <v>-18.57</v>
      </c>
    </row>
    <row r="28" spans="1:3" x14ac:dyDescent="0.45">
      <c r="A28" s="19">
        <v>44956</v>
      </c>
      <c r="B28" s="1" t="s">
        <v>77</v>
      </c>
      <c r="C28" s="1">
        <v>-6</v>
      </c>
    </row>
    <row r="29" spans="1:3" x14ac:dyDescent="0.45">
      <c r="A29" s="19">
        <v>44956</v>
      </c>
      <c r="B29" s="1" t="s">
        <v>77</v>
      </c>
      <c r="C29" s="1">
        <v>-14</v>
      </c>
    </row>
    <row r="30" spans="1:3" x14ac:dyDescent="0.45">
      <c r="A30" s="19">
        <v>44957</v>
      </c>
      <c r="B30" s="1" t="s">
        <v>77</v>
      </c>
      <c r="C30" s="1">
        <v>-25.06</v>
      </c>
    </row>
    <row r="31" spans="1:3" x14ac:dyDescent="0.45">
      <c r="A31" s="19">
        <v>44957</v>
      </c>
      <c r="B31" s="1" t="s">
        <v>77</v>
      </c>
      <c r="C31" s="1">
        <v>-13.17</v>
      </c>
    </row>
    <row r="32" spans="1:3" x14ac:dyDescent="0.45">
      <c r="A32" s="19">
        <v>44957</v>
      </c>
      <c r="B32" s="1" t="s">
        <v>77</v>
      </c>
      <c r="C32" s="1">
        <v>-12.52</v>
      </c>
    </row>
    <row r="33" spans="1:3" x14ac:dyDescent="0.45">
      <c r="A33" s="19">
        <v>44957</v>
      </c>
      <c r="B33" s="1" t="s">
        <v>77</v>
      </c>
      <c r="C33" s="1">
        <v>-16.82</v>
      </c>
    </row>
    <row r="34" spans="1:3" x14ac:dyDescent="0.45">
      <c r="A34" s="19">
        <v>44958</v>
      </c>
      <c r="B34" s="1" t="s">
        <v>77</v>
      </c>
      <c r="C34" s="1">
        <v>-8.0500000000000007</v>
      </c>
    </row>
    <row r="35" spans="1:3" x14ac:dyDescent="0.45">
      <c r="A35" s="19">
        <v>44958</v>
      </c>
      <c r="B35" s="1" t="s">
        <v>77</v>
      </c>
      <c r="C35" s="1">
        <v>-3.66</v>
      </c>
    </row>
    <row r="36" spans="1:3" x14ac:dyDescent="0.45">
      <c r="A36" s="19">
        <v>44959</v>
      </c>
      <c r="B36" s="1" t="s">
        <v>77</v>
      </c>
      <c r="C36" s="1">
        <v>-6.44</v>
      </c>
    </row>
    <row r="37" spans="1:3" x14ac:dyDescent="0.45">
      <c r="A37" s="19">
        <v>44962</v>
      </c>
      <c r="B37" s="1" t="s">
        <v>77</v>
      </c>
      <c r="C37" s="1">
        <v>-18.95</v>
      </c>
    </row>
    <row r="38" spans="1:3" x14ac:dyDescent="0.45">
      <c r="A38" s="19">
        <v>44962</v>
      </c>
      <c r="B38" s="1" t="s">
        <v>77</v>
      </c>
      <c r="C38" s="1">
        <v>-4.8099999999999996</v>
      </c>
    </row>
    <row r="39" spans="1:3" x14ac:dyDescent="0.45">
      <c r="A39" s="19">
        <v>44962</v>
      </c>
      <c r="B39" s="1" t="s">
        <v>77</v>
      </c>
      <c r="C39" s="1">
        <v>-4.1500000000000004</v>
      </c>
    </row>
    <row r="40" spans="1:3" x14ac:dyDescent="0.45">
      <c r="A40" s="19">
        <v>44962</v>
      </c>
      <c r="B40" s="1" t="s">
        <v>77</v>
      </c>
      <c r="C40" s="1">
        <v>-7.96</v>
      </c>
    </row>
    <row r="41" spans="1:3" x14ac:dyDescent="0.45">
      <c r="A41" s="19">
        <v>44963</v>
      </c>
      <c r="B41" s="1" t="s">
        <v>77</v>
      </c>
      <c r="C41" s="1">
        <v>-16.39</v>
      </c>
    </row>
    <row r="42" spans="1:3" x14ac:dyDescent="0.45">
      <c r="A42" s="19">
        <v>44964</v>
      </c>
      <c r="B42" s="1" t="s">
        <v>77</v>
      </c>
      <c r="C42" s="1">
        <v>-14</v>
      </c>
    </row>
    <row r="43" spans="1:3" x14ac:dyDescent="0.45">
      <c r="A43" s="19">
        <v>44964</v>
      </c>
      <c r="B43" s="1" t="s">
        <v>77</v>
      </c>
      <c r="C43" s="1">
        <v>-7.97</v>
      </c>
    </row>
    <row r="44" spans="1:3" x14ac:dyDescent="0.45">
      <c r="A44" s="19">
        <v>44964</v>
      </c>
      <c r="B44" s="1" t="s">
        <v>77</v>
      </c>
      <c r="C44" s="1">
        <v>-15.77</v>
      </c>
    </row>
    <row r="45" spans="1:3" x14ac:dyDescent="0.45">
      <c r="A45" s="19">
        <v>44964</v>
      </c>
      <c r="B45" s="1" t="s">
        <v>77</v>
      </c>
      <c r="C45" s="1">
        <v>-14.2</v>
      </c>
    </row>
    <row r="46" spans="1:3" x14ac:dyDescent="0.45">
      <c r="A46" s="19">
        <v>44964</v>
      </c>
      <c r="B46" s="1" t="s">
        <v>77</v>
      </c>
      <c r="C46" s="1">
        <v>-14.24</v>
      </c>
    </row>
    <row r="47" spans="1:3" x14ac:dyDescent="0.45">
      <c r="A47" s="19">
        <v>44964</v>
      </c>
      <c r="B47" s="1" t="s">
        <v>77</v>
      </c>
      <c r="C47" s="1">
        <v>-16.07</v>
      </c>
    </row>
    <row r="48" spans="1:3" x14ac:dyDescent="0.45">
      <c r="A48" s="19">
        <v>44965</v>
      </c>
      <c r="B48" s="1" t="s">
        <v>77</v>
      </c>
      <c r="C48" s="1">
        <v>-4.2</v>
      </c>
    </row>
    <row r="49" spans="1:3" x14ac:dyDescent="0.45">
      <c r="A49" s="19">
        <v>44965</v>
      </c>
      <c r="B49" s="1" t="s">
        <v>77</v>
      </c>
      <c r="C49" s="1">
        <v>-14</v>
      </c>
    </row>
    <row r="50" spans="1:3" x14ac:dyDescent="0.45">
      <c r="A50" s="19">
        <v>44970</v>
      </c>
      <c r="B50" s="1" t="s">
        <v>77</v>
      </c>
      <c r="C50" s="1">
        <v>-4.6900000000000004</v>
      </c>
    </row>
    <row r="51" spans="1:3" x14ac:dyDescent="0.45">
      <c r="A51" s="19">
        <v>44970</v>
      </c>
      <c r="B51" s="1" t="s">
        <v>77</v>
      </c>
      <c r="C51" s="1">
        <v>-7.8</v>
      </c>
    </row>
    <row r="52" spans="1:3" x14ac:dyDescent="0.45">
      <c r="A52" s="19">
        <v>44970</v>
      </c>
      <c r="B52" s="1" t="s">
        <v>77</v>
      </c>
      <c r="C52" s="1">
        <v>-4.2</v>
      </c>
    </row>
    <row r="53" spans="1:3" x14ac:dyDescent="0.45">
      <c r="A53" s="19">
        <v>44971</v>
      </c>
      <c r="B53" s="1" t="s">
        <v>77</v>
      </c>
      <c r="C53" s="1">
        <v>-17.87</v>
      </c>
    </row>
    <row r="54" spans="1:3" x14ac:dyDescent="0.45">
      <c r="A54" s="19">
        <v>44971</v>
      </c>
      <c r="B54" s="1" t="s">
        <v>77</v>
      </c>
      <c r="C54" s="1">
        <v>-13.59</v>
      </c>
    </row>
    <row r="55" spans="1:3" x14ac:dyDescent="0.45">
      <c r="A55" s="19">
        <v>44973</v>
      </c>
      <c r="B55" s="1" t="s">
        <v>77</v>
      </c>
      <c r="C55" s="1">
        <v>-6.22</v>
      </c>
    </row>
    <row r="56" spans="1:3" x14ac:dyDescent="0.45">
      <c r="A56" s="19">
        <v>44973</v>
      </c>
      <c r="B56" s="1" t="s">
        <v>77</v>
      </c>
      <c r="C56" s="1">
        <v>-3.81</v>
      </c>
    </row>
    <row r="57" spans="1:3" x14ac:dyDescent="0.45">
      <c r="A57" s="19">
        <v>44977</v>
      </c>
      <c r="B57" s="1" t="s">
        <v>77</v>
      </c>
      <c r="C57" s="1">
        <v>-21.43</v>
      </c>
    </row>
    <row r="58" spans="1:3" x14ac:dyDescent="0.45">
      <c r="A58" s="19">
        <v>44981</v>
      </c>
      <c r="B58" s="1" t="s">
        <v>77</v>
      </c>
      <c r="C58" s="1">
        <v>-9.94</v>
      </c>
    </row>
    <row r="59" spans="1:3" x14ac:dyDescent="0.45">
      <c r="A59" s="19">
        <v>44984</v>
      </c>
      <c r="B59" s="1" t="s">
        <v>77</v>
      </c>
      <c r="C59" s="1">
        <v>-8.31</v>
      </c>
    </row>
    <row r="60" spans="1:3" x14ac:dyDescent="0.45">
      <c r="A60" s="19">
        <v>44984</v>
      </c>
      <c r="B60" s="1" t="s">
        <v>77</v>
      </c>
      <c r="C60" s="1">
        <v>-8.0500000000000007</v>
      </c>
    </row>
    <row r="61" spans="1:3" x14ac:dyDescent="0.45">
      <c r="A61" s="19">
        <v>44984</v>
      </c>
      <c r="B61" s="1" t="s">
        <v>77</v>
      </c>
      <c r="C61" s="1">
        <v>-4.1500000000000004</v>
      </c>
    </row>
    <row r="62" spans="1:3" x14ac:dyDescent="0.45">
      <c r="A62" s="19">
        <v>44985</v>
      </c>
      <c r="B62" s="1" t="s">
        <v>77</v>
      </c>
      <c r="C62" s="1">
        <v>-13.33</v>
      </c>
    </row>
    <row r="63" spans="1:3" x14ac:dyDescent="0.45">
      <c r="A63" s="19">
        <v>44985</v>
      </c>
      <c r="B63" s="1" t="s">
        <v>77</v>
      </c>
      <c r="C63" s="1">
        <v>-5.93</v>
      </c>
    </row>
    <row r="64" spans="1:3" x14ac:dyDescent="0.45">
      <c r="A64" s="19">
        <v>44985</v>
      </c>
      <c r="B64" s="1" t="s">
        <v>77</v>
      </c>
      <c r="C64" s="1">
        <v>-8.31</v>
      </c>
    </row>
    <row r="65" spans="1:3" x14ac:dyDescent="0.45">
      <c r="A65" s="19">
        <v>44985</v>
      </c>
      <c r="B65" s="1" t="s">
        <v>77</v>
      </c>
      <c r="C65" s="1">
        <v>-8.82</v>
      </c>
    </row>
    <row r="66" spans="1:3" x14ac:dyDescent="0.45">
      <c r="A66" s="19">
        <v>44985</v>
      </c>
      <c r="B66" s="1" t="s">
        <v>77</v>
      </c>
      <c r="C66" s="1">
        <v>-7.8</v>
      </c>
    </row>
    <row r="67" spans="1:3" x14ac:dyDescent="0.45">
      <c r="A67" s="19">
        <v>44986</v>
      </c>
      <c r="B67" s="1" t="s">
        <v>77</v>
      </c>
      <c r="C67" s="1">
        <v>-7.58</v>
      </c>
    </row>
    <row r="68" spans="1:3" x14ac:dyDescent="0.45">
      <c r="A68" s="19">
        <v>44986</v>
      </c>
      <c r="B68" s="1" t="s">
        <v>77</v>
      </c>
      <c r="C68" s="1">
        <v>-6.44</v>
      </c>
    </row>
    <row r="69" spans="1:3" x14ac:dyDescent="0.45">
      <c r="A69" s="19">
        <v>44986</v>
      </c>
      <c r="B69" s="1" t="s">
        <v>77</v>
      </c>
      <c r="C69" s="1">
        <v>-4.6900000000000004</v>
      </c>
    </row>
    <row r="70" spans="1:3" x14ac:dyDescent="0.45">
      <c r="A70" s="19">
        <v>44988</v>
      </c>
      <c r="B70" s="1" t="s">
        <v>77</v>
      </c>
      <c r="C70" s="1">
        <v>-8.18</v>
      </c>
    </row>
    <row r="71" spans="1:3" x14ac:dyDescent="0.45">
      <c r="A71" s="19">
        <v>44991</v>
      </c>
      <c r="B71" s="1" t="s">
        <v>77</v>
      </c>
      <c r="C71" s="1">
        <v>-6.07</v>
      </c>
    </row>
    <row r="72" spans="1:3" x14ac:dyDescent="0.45">
      <c r="A72" s="19">
        <v>44991</v>
      </c>
      <c r="B72" s="1" t="s">
        <v>77</v>
      </c>
      <c r="C72" s="1">
        <v>-5.33</v>
      </c>
    </row>
    <row r="73" spans="1:3" x14ac:dyDescent="0.45">
      <c r="A73" s="19">
        <v>44991</v>
      </c>
      <c r="B73" s="1" t="s">
        <v>77</v>
      </c>
      <c r="C73" s="1">
        <v>-12.78</v>
      </c>
    </row>
    <row r="74" spans="1:3" x14ac:dyDescent="0.45">
      <c r="A74" s="19">
        <v>44991</v>
      </c>
      <c r="B74" s="1" t="s">
        <v>77</v>
      </c>
      <c r="C74" s="1">
        <v>-5.17</v>
      </c>
    </row>
    <row r="75" spans="1:3" x14ac:dyDescent="0.45">
      <c r="A75" s="19">
        <v>44992</v>
      </c>
      <c r="B75" s="1" t="s">
        <v>77</v>
      </c>
      <c r="C75" s="1">
        <v>-11.12</v>
      </c>
    </row>
    <row r="76" spans="1:3" x14ac:dyDescent="0.45">
      <c r="A76" s="19">
        <v>44993</v>
      </c>
      <c r="B76" s="1" t="s">
        <v>77</v>
      </c>
      <c r="C76" s="1">
        <v>-9.59</v>
      </c>
    </row>
    <row r="77" spans="1:3" x14ac:dyDescent="0.45">
      <c r="A77" s="19">
        <v>44993</v>
      </c>
      <c r="B77" s="1" t="s">
        <v>77</v>
      </c>
      <c r="C77" s="1">
        <v>-8.82</v>
      </c>
    </row>
    <row r="78" spans="1:3" x14ac:dyDescent="0.45">
      <c r="A78" s="19">
        <v>44993</v>
      </c>
      <c r="B78" s="1" t="s">
        <v>77</v>
      </c>
      <c r="C78" s="1">
        <v>-6.22</v>
      </c>
    </row>
    <row r="79" spans="1:3" x14ac:dyDescent="0.45">
      <c r="A79" s="19">
        <v>44993</v>
      </c>
      <c r="B79" s="1" t="s">
        <v>77</v>
      </c>
      <c r="C79" s="1">
        <v>-9.61</v>
      </c>
    </row>
    <row r="80" spans="1:3" x14ac:dyDescent="0.45">
      <c r="A80" s="19">
        <v>44994</v>
      </c>
      <c r="B80" s="1" t="s">
        <v>77</v>
      </c>
      <c r="C80" s="1">
        <v>-14</v>
      </c>
    </row>
    <row r="81" spans="1:3" x14ac:dyDescent="0.45">
      <c r="A81" s="19">
        <v>44994</v>
      </c>
      <c r="B81" s="1" t="s">
        <v>77</v>
      </c>
      <c r="C81" s="1">
        <v>-6.44</v>
      </c>
    </row>
    <row r="82" spans="1:3" x14ac:dyDescent="0.45">
      <c r="A82" s="19">
        <v>44998</v>
      </c>
      <c r="B82" s="1" t="s">
        <v>77</v>
      </c>
      <c r="C82" s="1">
        <v>-9.59</v>
      </c>
    </row>
    <row r="83" spans="1:3" x14ac:dyDescent="0.45">
      <c r="A83" s="19">
        <v>44998</v>
      </c>
      <c r="B83" s="1" t="s">
        <v>77</v>
      </c>
      <c r="C83" s="1">
        <v>-8.31</v>
      </c>
    </row>
    <row r="84" spans="1:3" x14ac:dyDescent="0.45">
      <c r="A84" s="19">
        <v>44999</v>
      </c>
      <c r="B84" s="1" t="s">
        <v>77</v>
      </c>
      <c r="C84" s="1">
        <v>-11.12</v>
      </c>
    </row>
    <row r="85" spans="1:3" x14ac:dyDescent="0.45">
      <c r="A85" s="19">
        <v>44999</v>
      </c>
      <c r="B85" s="1" t="s">
        <v>77</v>
      </c>
      <c r="C85" s="1">
        <v>-13.96</v>
      </c>
    </row>
    <row r="86" spans="1:3" x14ac:dyDescent="0.45">
      <c r="A86" s="19">
        <v>44999</v>
      </c>
      <c r="B86" s="1" t="s">
        <v>77</v>
      </c>
      <c r="C86" s="1">
        <v>-7.39</v>
      </c>
    </row>
    <row r="87" spans="1:3" x14ac:dyDescent="0.45">
      <c r="A87" s="19">
        <v>44999</v>
      </c>
      <c r="B87" s="1" t="s">
        <v>77</v>
      </c>
      <c r="C87" s="1">
        <v>-8.31</v>
      </c>
    </row>
    <row r="88" spans="1:3" x14ac:dyDescent="0.45">
      <c r="A88" s="19">
        <v>45000</v>
      </c>
      <c r="B88" s="1" t="s">
        <v>77</v>
      </c>
      <c r="C88" s="1">
        <v>-9.2100000000000009</v>
      </c>
    </row>
    <row r="89" spans="1:3" x14ac:dyDescent="0.45">
      <c r="A89" s="19">
        <v>45001</v>
      </c>
      <c r="B89" s="1" t="s">
        <v>77</v>
      </c>
      <c r="C89" s="1">
        <v>-11.62</v>
      </c>
    </row>
    <row r="90" spans="1:3" x14ac:dyDescent="0.45">
      <c r="A90" s="19">
        <v>45001</v>
      </c>
      <c r="B90" s="1" t="s">
        <v>77</v>
      </c>
      <c r="C90" s="1">
        <v>-4.2</v>
      </c>
    </row>
    <row r="91" spans="1:3" x14ac:dyDescent="0.45">
      <c r="A91" s="19">
        <v>45002</v>
      </c>
      <c r="B91" s="1" t="s">
        <v>77</v>
      </c>
      <c r="C91" s="1">
        <v>-9.94</v>
      </c>
    </row>
    <row r="92" spans="1:3" x14ac:dyDescent="0.45">
      <c r="A92" s="19">
        <v>45002</v>
      </c>
      <c r="B92" s="1" t="s">
        <v>77</v>
      </c>
      <c r="C92" s="1">
        <v>-11.65</v>
      </c>
    </row>
    <row r="93" spans="1:3" x14ac:dyDescent="0.45">
      <c r="A93" s="19">
        <v>45002</v>
      </c>
      <c r="B93" s="1" t="s">
        <v>77</v>
      </c>
      <c r="C93" s="1">
        <v>-8.7799999999999994</v>
      </c>
    </row>
    <row r="94" spans="1:3" x14ac:dyDescent="0.45">
      <c r="A94" s="19">
        <v>45006</v>
      </c>
      <c r="B94" s="1" t="s">
        <v>77</v>
      </c>
      <c r="C94" s="1">
        <v>-13.71</v>
      </c>
    </row>
    <row r="95" spans="1:3" x14ac:dyDescent="0.45">
      <c r="A95" s="19">
        <v>45006</v>
      </c>
      <c r="B95" s="1" t="s">
        <v>77</v>
      </c>
      <c r="C95" s="1">
        <v>-14.19</v>
      </c>
    </row>
    <row r="96" spans="1:3" x14ac:dyDescent="0.45">
      <c r="A96" s="19">
        <v>45006</v>
      </c>
      <c r="B96" s="1" t="s">
        <v>77</v>
      </c>
      <c r="C96" s="1">
        <v>-4.74</v>
      </c>
    </row>
    <row r="97" spans="1:3" x14ac:dyDescent="0.45">
      <c r="A97" s="19">
        <v>45008</v>
      </c>
      <c r="B97" s="1" t="s">
        <v>77</v>
      </c>
      <c r="C97" s="1">
        <v>-14</v>
      </c>
    </row>
    <row r="98" spans="1:3" x14ac:dyDescent="0.45">
      <c r="A98" s="19">
        <v>45009</v>
      </c>
      <c r="B98" s="1" t="s">
        <v>77</v>
      </c>
      <c r="C98" s="1">
        <v>-11.62</v>
      </c>
    </row>
    <row r="99" spans="1:3" x14ac:dyDescent="0.45">
      <c r="A99" s="19">
        <v>45009</v>
      </c>
      <c r="B99" s="1" t="s">
        <v>77</v>
      </c>
      <c r="C99" s="1">
        <v>-14</v>
      </c>
    </row>
    <row r="100" spans="1:3" x14ac:dyDescent="0.45">
      <c r="A100" s="19">
        <v>45012</v>
      </c>
      <c r="B100" s="1" t="s">
        <v>77</v>
      </c>
      <c r="C100" s="1">
        <v>-8.18</v>
      </c>
    </row>
    <row r="101" spans="1:3" x14ac:dyDescent="0.45">
      <c r="A101" s="19">
        <v>45012</v>
      </c>
      <c r="B101" s="1" t="s">
        <v>77</v>
      </c>
      <c r="C101" s="1">
        <v>-10.47</v>
      </c>
    </row>
    <row r="102" spans="1:3" x14ac:dyDescent="0.45">
      <c r="A102" s="19">
        <v>45013</v>
      </c>
      <c r="B102" s="1" t="s">
        <v>77</v>
      </c>
      <c r="C102" s="1">
        <v>-8.82</v>
      </c>
    </row>
    <row r="103" spans="1:3" x14ac:dyDescent="0.45">
      <c r="A103" s="19">
        <v>45013</v>
      </c>
      <c r="B103" s="1" t="s">
        <v>77</v>
      </c>
      <c r="C103" s="1">
        <v>-14.61</v>
      </c>
    </row>
    <row r="104" spans="1:3" x14ac:dyDescent="0.45">
      <c r="A104" s="19">
        <v>45015</v>
      </c>
      <c r="B104" s="1" t="s">
        <v>77</v>
      </c>
      <c r="C104" s="1">
        <v>-6.22</v>
      </c>
    </row>
    <row r="105" spans="1:3" x14ac:dyDescent="0.45">
      <c r="A105" s="19">
        <v>45017</v>
      </c>
      <c r="B105" s="1" t="s">
        <v>77</v>
      </c>
      <c r="C105" s="1">
        <v>-8.26</v>
      </c>
    </row>
    <row r="106" spans="1:3" x14ac:dyDescent="0.45">
      <c r="A106" s="19">
        <v>45019</v>
      </c>
      <c r="B106" s="1" t="s">
        <v>77</v>
      </c>
      <c r="C106" s="1">
        <v>-8.31</v>
      </c>
    </row>
    <row r="107" spans="1:3" x14ac:dyDescent="0.45">
      <c r="A107" s="19">
        <v>45019</v>
      </c>
      <c r="B107" s="1" t="s">
        <v>77</v>
      </c>
      <c r="C107" s="1">
        <v>-8.0500000000000007</v>
      </c>
    </row>
    <row r="108" spans="1:3" x14ac:dyDescent="0.45">
      <c r="A108" s="19">
        <v>45019</v>
      </c>
      <c r="B108" s="1" t="s">
        <v>77</v>
      </c>
      <c r="C108" s="1">
        <v>-11.65</v>
      </c>
    </row>
    <row r="109" spans="1:3" x14ac:dyDescent="0.45">
      <c r="A109" s="19">
        <v>45020</v>
      </c>
      <c r="B109" s="1" t="s">
        <v>77</v>
      </c>
      <c r="C109" s="1">
        <v>-12.52</v>
      </c>
    </row>
    <row r="110" spans="1:3" x14ac:dyDescent="0.45">
      <c r="A110" s="19">
        <v>45020</v>
      </c>
      <c r="B110" s="1" t="s">
        <v>77</v>
      </c>
      <c r="C110" s="1">
        <v>-5.17</v>
      </c>
    </row>
    <row r="111" spans="1:3" x14ac:dyDescent="0.45">
      <c r="A111" s="19">
        <v>45020</v>
      </c>
      <c r="B111" s="1" t="s">
        <v>77</v>
      </c>
      <c r="C111" s="1">
        <v>-8.31</v>
      </c>
    </row>
    <row r="112" spans="1:3" x14ac:dyDescent="0.45">
      <c r="A112" s="19">
        <v>45020</v>
      </c>
      <c r="B112" s="1" t="s">
        <v>77</v>
      </c>
      <c r="C112" s="1">
        <v>-9.59</v>
      </c>
    </row>
    <row r="113" spans="1:3" x14ac:dyDescent="0.45">
      <c r="A113" s="19">
        <v>45021</v>
      </c>
      <c r="B113" s="1" t="s">
        <v>77</v>
      </c>
      <c r="C113" s="1">
        <v>-3.75</v>
      </c>
    </row>
    <row r="114" spans="1:3" x14ac:dyDescent="0.45">
      <c r="A114" s="19">
        <v>45022</v>
      </c>
      <c r="B114" s="1" t="s">
        <v>77</v>
      </c>
      <c r="C114" s="1">
        <v>-8.5</v>
      </c>
    </row>
    <row r="115" spans="1:3" x14ac:dyDescent="0.45">
      <c r="A115" s="19">
        <v>45022</v>
      </c>
      <c r="B115" s="1" t="s">
        <v>77</v>
      </c>
      <c r="C115" s="1">
        <v>-9.59</v>
      </c>
    </row>
    <row r="116" spans="1:3" x14ac:dyDescent="0.45">
      <c r="A116" s="19">
        <v>45022</v>
      </c>
      <c r="B116" s="1" t="s">
        <v>77</v>
      </c>
      <c r="C116" s="1">
        <v>-9.94</v>
      </c>
    </row>
    <row r="117" spans="1:3" x14ac:dyDescent="0.45">
      <c r="A117" s="19">
        <v>45022</v>
      </c>
      <c r="B117" s="1" t="s">
        <v>77</v>
      </c>
      <c r="C117" s="1">
        <v>-4.74</v>
      </c>
    </row>
    <row r="118" spans="1:3" x14ac:dyDescent="0.45">
      <c r="A118" s="19">
        <v>45022</v>
      </c>
      <c r="B118" s="1" t="s">
        <v>77</v>
      </c>
      <c r="C118" s="1">
        <v>-7.53</v>
      </c>
    </row>
    <row r="119" spans="1:3" x14ac:dyDescent="0.45">
      <c r="A119" s="19">
        <v>45023</v>
      </c>
      <c r="B119" s="1" t="s">
        <v>77</v>
      </c>
      <c r="C119" s="1">
        <v>-9.59</v>
      </c>
    </row>
    <row r="120" spans="1:3" x14ac:dyDescent="0.45">
      <c r="A120" s="19">
        <v>45023</v>
      </c>
      <c r="B120" s="1" t="s">
        <v>77</v>
      </c>
      <c r="C120" s="1">
        <v>-6.22</v>
      </c>
    </row>
    <row r="121" spans="1:3" x14ac:dyDescent="0.45">
      <c r="A121" s="19">
        <v>45023</v>
      </c>
      <c r="B121" s="1" t="s">
        <v>77</v>
      </c>
      <c r="C121" s="1">
        <v>-14</v>
      </c>
    </row>
    <row r="122" spans="1:3" x14ac:dyDescent="0.45">
      <c r="A122" s="19">
        <v>45023</v>
      </c>
      <c r="B122" s="1" t="s">
        <v>77</v>
      </c>
      <c r="C122" s="1">
        <v>-14</v>
      </c>
    </row>
    <row r="123" spans="1:3" x14ac:dyDescent="0.45">
      <c r="A123" s="19">
        <v>45026</v>
      </c>
      <c r="B123" s="1" t="s">
        <v>77</v>
      </c>
      <c r="C123" s="1">
        <v>-8.82</v>
      </c>
    </row>
    <row r="124" spans="1:3" x14ac:dyDescent="0.45">
      <c r="A124" s="19">
        <v>45026</v>
      </c>
      <c r="B124" s="1" t="s">
        <v>77</v>
      </c>
      <c r="C124" s="1">
        <v>-23.01</v>
      </c>
    </row>
    <row r="125" spans="1:3" x14ac:dyDescent="0.45">
      <c r="A125" s="19">
        <v>45026</v>
      </c>
      <c r="B125" s="1" t="s">
        <v>77</v>
      </c>
      <c r="C125" s="1">
        <v>-46.58</v>
      </c>
    </row>
    <row r="126" spans="1:3" x14ac:dyDescent="0.45">
      <c r="A126" s="19">
        <v>45026</v>
      </c>
      <c r="B126" s="1" t="s">
        <v>77</v>
      </c>
      <c r="C126" s="1">
        <v>-9.15</v>
      </c>
    </row>
    <row r="127" spans="1:3" x14ac:dyDescent="0.45">
      <c r="A127" s="19">
        <v>45026</v>
      </c>
      <c r="B127" s="1" t="s">
        <v>77</v>
      </c>
      <c r="C127" s="1">
        <v>-8.26</v>
      </c>
    </row>
    <row r="128" spans="1:3" x14ac:dyDescent="0.45">
      <c r="A128" s="19">
        <v>45026</v>
      </c>
      <c r="B128" s="1" t="s">
        <v>77</v>
      </c>
      <c r="C128" s="1">
        <v>-6.6</v>
      </c>
    </row>
    <row r="129" spans="1:3" x14ac:dyDescent="0.45">
      <c r="A129" s="19">
        <v>45026</v>
      </c>
      <c r="B129" s="1" t="s">
        <v>77</v>
      </c>
      <c r="C129" s="1">
        <v>-6.22</v>
      </c>
    </row>
    <row r="130" spans="1:3" x14ac:dyDescent="0.45">
      <c r="A130" s="19">
        <v>45026</v>
      </c>
      <c r="B130" s="1" t="s">
        <v>77</v>
      </c>
      <c r="C130" s="1">
        <v>-11.65</v>
      </c>
    </row>
    <row r="131" spans="1:3" x14ac:dyDescent="0.45">
      <c r="A131" s="19">
        <v>45026</v>
      </c>
      <c r="B131" s="1" t="s">
        <v>77</v>
      </c>
      <c r="C131" s="1">
        <v>-5.33</v>
      </c>
    </row>
    <row r="132" spans="1:3" x14ac:dyDescent="0.45">
      <c r="A132" s="19">
        <v>45026</v>
      </c>
      <c r="B132" s="1" t="s">
        <v>77</v>
      </c>
      <c r="C132" s="1">
        <v>-14</v>
      </c>
    </row>
    <row r="133" spans="1:3" x14ac:dyDescent="0.45">
      <c r="A133" s="19">
        <v>45027</v>
      </c>
      <c r="B133" s="1" t="s">
        <v>77</v>
      </c>
      <c r="C133" s="1">
        <v>-11.65</v>
      </c>
    </row>
    <row r="134" spans="1:3" x14ac:dyDescent="0.45">
      <c r="A134" s="19">
        <v>45028</v>
      </c>
      <c r="B134" s="1" t="s">
        <v>77</v>
      </c>
      <c r="C134" s="1">
        <v>-8.0500000000000007</v>
      </c>
    </row>
    <row r="135" spans="1:3" x14ac:dyDescent="0.45">
      <c r="A135" s="19">
        <v>45028</v>
      </c>
      <c r="B135" s="1" t="s">
        <v>77</v>
      </c>
      <c r="C135" s="1">
        <v>-14</v>
      </c>
    </row>
    <row r="136" spans="1:3" x14ac:dyDescent="0.45">
      <c r="A136" s="19">
        <v>45029</v>
      </c>
      <c r="B136" s="1" t="s">
        <v>77</v>
      </c>
      <c r="C136" s="1">
        <v>-16.97</v>
      </c>
    </row>
    <row r="137" spans="1:3" x14ac:dyDescent="0.45">
      <c r="A137" s="19">
        <v>45029</v>
      </c>
      <c r="B137" s="1" t="s">
        <v>77</v>
      </c>
      <c r="C137" s="1">
        <v>-9.58</v>
      </c>
    </row>
    <row r="138" spans="1:3" x14ac:dyDescent="0.45">
      <c r="A138" s="19">
        <v>45029</v>
      </c>
      <c r="B138" s="1" t="s">
        <v>77</v>
      </c>
      <c r="C138" s="1">
        <v>-7.53</v>
      </c>
    </row>
    <row r="139" spans="1:3" x14ac:dyDescent="0.45">
      <c r="A139" s="19">
        <v>45030</v>
      </c>
      <c r="B139" s="1" t="s">
        <v>77</v>
      </c>
      <c r="C139" s="1">
        <v>-11.62</v>
      </c>
    </row>
    <row r="140" spans="1:3" x14ac:dyDescent="0.45">
      <c r="A140" s="19">
        <v>45031</v>
      </c>
      <c r="B140" s="1" t="s">
        <v>77</v>
      </c>
      <c r="C140" s="1">
        <v>-5.04</v>
      </c>
    </row>
    <row r="141" spans="1:3" x14ac:dyDescent="0.45">
      <c r="A141" s="19">
        <v>45033</v>
      </c>
      <c r="B141" s="1" t="s">
        <v>77</v>
      </c>
      <c r="C141" s="1">
        <v>-14.88</v>
      </c>
    </row>
    <row r="142" spans="1:3" x14ac:dyDescent="0.45">
      <c r="A142" s="19">
        <v>45033</v>
      </c>
      <c r="B142" s="1" t="s">
        <v>77</v>
      </c>
      <c r="C142" s="1">
        <v>-14.88</v>
      </c>
    </row>
    <row r="143" spans="1:3" x14ac:dyDescent="0.45">
      <c r="A143" s="19">
        <v>45033</v>
      </c>
      <c r="B143" s="1" t="s">
        <v>77</v>
      </c>
      <c r="C143" s="1">
        <v>-6.07</v>
      </c>
    </row>
    <row r="144" spans="1:3" x14ac:dyDescent="0.45">
      <c r="A144" s="19">
        <v>45033</v>
      </c>
      <c r="B144" s="1" t="s">
        <v>77</v>
      </c>
      <c r="C144" s="1">
        <v>-7.69</v>
      </c>
    </row>
    <row r="145" spans="1:3" x14ac:dyDescent="0.45">
      <c r="A145" s="19">
        <v>45033</v>
      </c>
      <c r="B145" s="1" t="s">
        <v>77</v>
      </c>
      <c r="C145" s="1">
        <v>-6.44</v>
      </c>
    </row>
    <row r="146" spans="1:3" x14ac:dyDescent="0.45">
      <c r="A146" s="19">
        <v>45033</v>
      </c>
      <c r="B146" s="1" t="s">
        <v>77</v>
      </c>
      <c r="C146" s="1">
        <v>-5.04</v>
      </c>
    </row>
    <row r="147" spans="1:3" x14ac:dyDescent="0.45">
      <c r="A147" s="19">
        <v>45033</v>
      </c>
      <c r="B147" s="1" t="s">
        <v>77</v>
      </c>
      <c r="C147" s="1">
        <v>-14</v>
      </c>
    </row>
    <row r="148" spans="1:3" x14ac:dyDescent="0.45">
      <c r="A148" s="19">
        <v>45033</v>
      </c>
      <c r="B148" s="1" t="s">
        <v>77</v>
      </c>
      <c r="C148" s="1">
        <v>-9.9</v>
      </c>
    </row>
    <row r="149" spans="1:3" x14ac:dyDescent="0.45">
      <c r="A149" s="19">
        <v>45033</v>
      </c>
      <c r="B149" s="1" t="s">
        <v>77</v>
      </c>
      <c r="C149" s="1">
        <v>-8.18</v>
      </c>
    </row>
    <row r="150" spans="1:3" x14ac:dyDescent="0.45">
      <c r="A150" s="19">
        <v>45033</v>
      </c>
      <c r="B150" s="1" t="s">
        <v>77</v>
      </c>
      <c r="C150" s="1">
        <v>-8.31</v>
      </c>
    </row>
    <row r="151" spans="1:3" x14ac:dyDescent="0.45">
      <c r="A151" s="19">
        <v>45034</v>
      </c>
      <c r="B151" s="1" t="s">
        <v>77</v>
      </c>
      <c r="C151" s="1">
        <v>-7.53</v>
      </c>
    </row>
    <row r="152" spans="1:3" x14ac:dyDescent="0.45">
      <c r="A152" s="19">
        <v>45034</v>
      </c>
      <c r="B152" s="1" t="s">
        <v>77</v>
      </c>
      <c r="C152" s="1">
        <v>-9.15</v>
      </c>
    </row>
    <row r="153" spans="1:3" x14ac:dyDescent="0.45">
      <c r="A153" s="19">
        <v>45034</v>
      </c>
      <c r="B153" s="1" t="s">
        <v>77</v>
      </c>
      <c r="C153" s="1">
        <v>-6.22</v>
      </c>
    </row>
    <row r="154" spans="1:3" x14ac:dyDescent="0.45">
      <c r="A154" s="19">
        <v>45034</v>
      </c>
      <c r="B154" s="1" t="s">
        <v>77</v>
      </c>
      <c r="C154" s="1">
        <v>-14</v>
      </c>
    </row>
    <row r="155" spans="1:3" x14ac:dyDescent="0.45">
      <c r="A155" s="19">
        <v>45034</v>
      </c>
      <c r="B155" s="1" t="s">
        <v>77</v>
      </c>
      <c r="C155" s="1">
        <v>-11.62</v>
      </c>
    </row>
    <row r="156" spans="1:3" x14ac:dyDescent="0.45">
      <c r="A156" s="19">
        <v>45035</v>
      </c>
      <c r="B156" s="1" t="s">
        <v>77</v>
      </c>
      <c r="C156" s="1">
        <v>-3.9</v>
      </c>
    </row>
    <row r="157" spans="1:3" x14ac:dyDescent="0.45">
      <c r="A157" s="19">
        <v>45036</v>
      </c>
      <c r="B157" s="1" t="s">
        <v>77</v>
      </c>
      <c r="C157" s="1">
        <v>-12.78</v>
      </c>
    </row>
    <row r="158" spans="1:3" x14ac:dyDescent="0.45">
      <c r="A158" s="19">
        <v>45037</v>
      </c>
      <c r="B158" s="1" t="s">
        <v>77</v>
      </c>
      <c r="C158" s="1">
        <v>1.26</v>
      </c>
    </row>
    <row r="159" spans="1:3" x14ac:dyDescent="0.45">
      <c r="A159" s="19">
        <v>45037</v>
      </c>
      <c r="B159" s="1" t="s">
        <v>77</v>
      </c>
      <c r="C159" s="1">
        <v>2.19</v>
      </c>
    </row>
    <row r="160" spans="1:3" x14ac:dyDescent="0.45">
      <c r="A160" s="19">
        <v>45038</v>
      </c>
      <c r="B160" s="1" t="s">
        <v>77</v>
      </c>
      <c r="C160" s="1">
        <v>-9.94</v>
      </c>
    </row>
    <row r="161" spans="1:3" x14ac:dyDescent="0.45">
      <c r="A161" s="19">
        <v>45038</v>
      </c>
      <c r="B161" s="1" t="s">
        <v>77</v>
      </c>
      <c r="C161" s="1">
        <v>-13.59</v>
      </c>
    </row>
    <row r="162" spans="1:3" x14ac:dyDescent="0.45">
      <c r="A162" s="19">
        <v>45038</v>
      </c>
      <c r="B162" s="1" t="s">
        <v>77</v>
      </c>
      <c r="C162" s="1">
        <v>-16.03</v>
      </c>
    </row>
    <row r="163" spans="1:3" x14ac:dyDescent="0.45">
      <c r="A163" s="19">
        <v>45038</v>
      </c>
      <c r="B163" s="1" t="s">
        <v>77</v>
      </c>
      <c r="C163" s="1">
        <v>-8.76</v>
      </c>
    </row>
    <row r="164" spans="1:3" x14ac:dyDescent="0.45">
      <c r="A164" s="19">
        <v>45040</v>
      </c>
      <c r="B164" s="1" t="s">
        <v>77</v>
      </c>
      <c r="C164" s="1">
        <v>-10.31</v>
      </c>
    </row>
    <row r="165" spans="1:3" x14ac:dyDescent="0.45">
      <c r="A165" s="19">
        <v>45040</v>
      </c>
      <c r="B165" s="1" t="s">
        <v>77</v>
      </c>
      <c r="C165" s="1">
        <v>-11.19</v>
      </c>
    </row>
    <row r="166" spans="1:3" x14ac:dyDescent="0.45">
      <c r="A166" s="19">
        <v>45041</v>
      </c>
      <c r="B166" s="1" t="s">
        <v>77</v>
      </c>
      <c r="C166" s="1">
        <v>-8.7799999999999994</v>
      </c>
    </row>
    <row r="167" spans="1:3" x14ac:dyDescent="0.45">
      <c r="A167" s="19">
        <v>45042</v>
      </c>
      <c r="B167" s="1" t="s">
        <v>77</v>
      </c>
      <c r="C167" s="1">
        <v>-7.39</v>
      </c>
    </row>
    <row r="168" spans="1:3" x14ac:dyDescent="0.45">
      <c r="A168" s="19">
        <v>45043</v>
      </c>
      <c r="B168" s="1" t="s">
        <v>77</v>
      </c>
      <c r="C168" s="1">
        <v>-4.8099999999999996</v>
      </c>
    </row>
    <row r="169" spans="1:3" x14ac:dyDescent="0.45">
      <c r="A169" s="19">
        <v>45047</v>
      </c>
      <c r="B169" s="1" t="s">
        <v>77</v>
      </c>
      <c r="C169" s="1">
        <v>-3.9</v>
      </c>
    </row>
    <row r="170" spans="1:3" x14ac:dyDescent="0.45">
      <c r="A170" s="19">
        <v>45047</v>
      </c>
      <c r="B170" s="1" t="s">
        <v>77</v>
      </c>
      <c r="C170" s="1">
        <v>-14</v>
      </c>
    </row>
    <row r="171" spans="1:3" x14ac:dyDescent="0.45">
      <c r="A171" s="19">
        <v>45048</v>
      </c>
      <c r="B171" s="1" t="s">
        <v>77</v>
      </c>
      <c r="C171" s="1">
        <v>-8.31</v>
      </c>
    </row>
    <row r="172" spans="1:3" x14ac:dyDescent="0.45">
      <c r="A172" s="19">
        <v>45048</v>
      </c>
      <c r="B172" s="1" t="s">
        <v>77</v>
      </c>
      <c r="C172" s="1">
        <v>-7.2</v>
      </c>
    </row>
    <row r="173" spans="1:3" x14ac:dyDescent="0.45">
      <c r="A173" s="19">
        <v>45048</v>
      </c>
      <c r="B173" s="1" t="s">
        <v>77</v>
      </c>
      <c r="C173" s="1">
        <v>-11.65</v>
      </c>
    </row>
    <row r="174" spans="1:3" x14ac:dyDescent="0.45">
      <c r="A174" s="19">
        <v>45048</v>
      </c>
      <c r="B174" s="1" t="s">
        <v>77</v>
      </c>
      <c r="C174" s="1">
        <v>-8.82</v>
      </c>
    </row>
    <row r="175" spans="1:3" x14ac:dyDescent="0.45">
      <c r="A175" s="19">
        <v>45048</v>
      </c>
      <c r="B175" s="1" t="s">
        <v>77</v>
      </c>
      <c r="C175" s="1">
        <v>-7.2</v>
      </c>
    </row>
    <row r="176" spans="1:3" x14ac:dyDescent="0.45">
      <c r="A176" s="19">
        <v>45050</v>
      </c>
      <c r="B176" s="1" t="s">
        <v>77</v>
      </c>
      <c r="C176" s="1">
        <v>-14</v>
      </c>
    </row>
    <row r="177" spans="1:3" x14ac:dyDescent="0.45">
      <c r="A177" s="19">
        <v>45050</v>
      </c>
      <c r="B177" s="1" t="s">
        <v>77</v>
      </c>
      <c r="C177" s="1">
        <v>-14</v>
      </c>
    </row>
    <row r="178" spans="1:3" x14ac:dyDescent="0.45">
      <c r="A178" s="19">
        <v>45051</v>
      </c>
      <c r="B178" s="1" t="s">
        <v>77</v>
      </c>
      <c r="C178" s="1">
        <v>-7.2</v>
      </c>
    </row>
    <row r="179" spans="1:3" x14ac:dyDescent="0.45">
      <c r="A179" s="19">
        <v>45051</v>
      </c>
      <c r="B179" s="1" t="s">
        <v>77</v>
      </c>
      <c r="C179" s="1">
        <v>-8.82</v>
      </c>
    </row>
    <row r="180" spans="1:3" x14ac:dyDescent="0.45">
      <c r="A180" s="19">
        <v>45051</v>
      </c>
      <c r="B180" s="1" t="s">
        <v>77</v>
      </c>
      <c r="C180" s="1">
        <v>-4.2</v>
      </c>
    </row>
    <row r="181" spans="1:3" x14ac:dyDescent="0.45">
      <c r="A181" s="19">
        <v>45054</v>
      </c>
      <c r="B181" s="1" t="s">
        <v>77</v>
      </c>
      <c r="C181" s="1">
        <v>-7.2</v>
      </c>
    </row>
    <row r="182" spans="1:3" x14ac:dyDescent="0.45">
      <c r="A182" s="19">
        <v>45056</v>
      </c>
      <c r="B182" s="1" t="s">
        <v>77</v>
      </c>
      <c r="C182" s="1">
        <v>-11.62</v>
      </c>
    </row>
    <row r="183" spans="1:3" x14ac:dyDescent="0.45">
      <c r="A183" s="19">
        <v>45057</v>
      </c>
      <c r="B183" s="1" t="s">
        <v>77</v>
      </c>
      <c r="C183" s="1">
        <v>-13.02</v>
      </c>
    </row>
    <row r="184" spans="1:3" x14ac:dyDescent="0.45">
      <c r="A184" s="19">
        <v>45058</v>
      </c>
      <c r="B184" s="1" t="s">
        <v>77</v>
      </c>
      <c r="C184" s="1">
        <v>-7.2</v>
      </c>
    </row>
    <row r="185" spans="1:3" x14ac:dyDescent="0.45">
      <c r="A185" s="19">
        <v>45058</v>
      </c>
      <c r="B185" s="1" t="s">
        <v>77</v>
      </c>
      <c r="C185" s="1">
        <v>-14.88</v>
      </c>
    </row>
    <row r="186" spans="1:3" x14ac:dyDescent="0.45">
      <c r="A186" s="19">
        <v>45061</v>
      </c>
      <c r="B186" s="1" t="s">
        <v>77</v>
      </c>
      <c r="C186" s="1">
        <v>-13.33</v>
      </c>
    </row>
    <row r="187" spans="1:3" x14ac:dyDescent="0.45">
      <c r="A187" s="19">
        <v>45063</v>
      </c>
      <c r="B187" s="1" t="s">
        <v>77</v>
      </c>
      <c r="C187" s="1">
        <v>-7</v>
      </c>
    </row>
    <row r="188" spans="1:3" x14ac:dyDescent="0.45">
      <c r="A188" s="19">
        <v>45067</v>
      </c>
      <c r="B188" s="1" t="s">
        <v>77</v>
      </c>
      <c r="C188" s="1">
        <v>-7.47</v>
      </c>
    </row>
    <row r="189" spans="1:3" x14ac:dyDescent="0.45">
      <c r="A189" s="19">
        <v>45067</v>
      </c>
      <c r="B189" s="1" t="s">
        <v>77</v>
      </c>
      <c r="C189" s="1">
        <v>-11.65</v>
      </c>
    </row>
    <row r="190" spans="1:3" x14ac:dyDescent="0.45">
      <c r="A190" s="19">
        <v>45067</v>
      </c>
      <c r="B190" s="1" t="s">
        <v>77</v>
      </c>
      <c r="C190" s="1">
        <v>-14.88</v>
      </c>
    </row>
    <row r="191" spans="1:3" x14ac:dyDescent="0.45">
      <c r="A191" s="19">
        <v>45067</v>
      </c>
      <c r="B191" s="1" t="s">
        <v>77</v>
      </c>
      <c r="C191" s="1">
        <v>-4.2</v>
      </c>
    </row>
    <row r="192" spans="1:3" x14ac:dyDescent="0.45">
      <c r="A192" s="19">
        <v>45067</v>
      </c>
      <c r="B192" s="1" t="s">
        <v>77</v>
      </c>
      <c r="C192" s="1">
        <v>-7.2</v>
      </c>
    </row>
    <row r="193" spans="1:3" x14ac:dyDescent="0.45">
      <c r="A193" s="19">
        <v>45068</v>
      </c>
      <c r="B193" s="1" t="s">
        <v>77</v>
      </c>
      <c r="C193" s="1">
        <v>-11.87</v>
      </c>
    </row>
    <row r="194" spans="1:3" x14ac:dyDescent="0.45">
      <c r="A194" s="19">
        <v>45070</v>
      </c>
      <c r="B194" s="1" t="s">
        <v>77</v>
      </c>
      <c r="C194" s="1">
        <v>-9.94</v>
      </c>
    </row>
    <row r="195" spans="1:3" x14ac:dyDescent="0.45">
      <c r="A195" s="19">
        <v>45072</v>
      </c>
      <c r="B195" s="1" t="s">
        <v>77</v>
      </c>
      <c r="C195" s="1">
        <v>-11.65</v>
      </c>
    </row>
    <row r="196" spans="1:3" x14ac:dyDescent="0.45">
      <c r="A196" s="19">
        <v>45076</v>
      </c>
      <c r="B196" s="1" t="s">
        <v>77</v>
      </c>
      <c r="C196" s="1">
        <v>-4.88</v>
      </c>
    </row>
    <row r="197" spans="1:3" x14ac:dyDescent="0.45">
      <c r="A197" s="19">
        <v>45076</v>
      </c>
      <c r="B197" s="1" t="s">
        <v>77</v>
      </c>
      <c r="C197" s="1">
        <v>-9.9</v>
      </c>
    </row>
    <row r="198" spans="1:3" x14ac:dyDescent="0.45">
      <c r="A198" s="19">
        <v>45077</v>
      </c>
      <c r="B198" s="1" t="s">
        <v>77</v>
      </c>
      <c r="C198" s="1">
        <v>-11.62</v>
      </c>
    </row>
    <row r="199" spans="1:3" x14ac:dyDescent="0.45">
      <c r="A199" s="19">
        <v>45077</v>
      </c>
      <c r="B199" s="1" t="s">
        <v>77</v>
      </c>
      <c r="C199" s="1">
        <v>-7.25</v>
      </c>
    </row>
    <row r="200" spans="1:3" x14ac:dyDescent="0.45">
      <c r="A200" s="19">
        <v>45078</v>
      </c>
      <c r="B200" s="1" t="s">
        <v>77</v>
      </c>
      <c r="C200" s="1">
        <v>-16.97</v>
      </c>
    </row>
    <row r="201" spans="1:3" x14ac:dyDescent="0.45">
      <c r="A201" s="19">
        <v>45079</v>
      </c>
      <c r="B201" s="1" t="s">
        <v>77</v>
      </c>
      <c r="C201" s="1">
        <v>-11.62</v>
      </c>
    </row>
    <row r="202" spans="1:3" x14ac:dyDescent="0.45">
      <c r="A202" s="19">
        <v>45079</v>
      </c>
      <c r="B202" s="1" t="s">
        <v>77</v>
      </c>
      <c r="C202" s="1">
        <v>-7.2</v>
      </c>
    </row>
    <row r="203" spans="1:3" x14ac:dyDescent="0.45">
      <c r="A203" s="19">
        <v>45079</v>
      </c>
      <c r="B203" s="1" t="s">
        <v>77</v>
      </c>
      <c r="C203" s="1">
        <v>-7.2</v>
      </c>
    </row>
    <row r="204" spans="1:3" x14ac:dyDescent="0.45">
      <c r="A204" s="19">
        <v>45080</v>
      </c>
      <c r="B204" s="1" t="s">
        <v>77</v>
      </c>
      <c r="C204" s="1">
        <v>-11.65</v>
      </c>
    </row>
    <row r="205" spans="1:3" x14ac:dyDescent="0.45">
      <c r="A205" s="19">
        <v>45082</v>
      </c>
      <c r="B205" s="1" t="s">
        <v>77</v>
      </c>
      <c r="C205" s="1">
        <v>-14</v>
      </c>
    </row>
    <row r="206" spans="1:3" x14ac:dyDescent="0.45">
      <c r="A206" s="19">
        <v>45082</v>
      </c>
      <c r="B206" s="1" t="s">
        <v>77</v>
      </c>
      <c r="C206" s="1">
        <v>-18.52</v>
      </c>
    </row>
    <row r="207" spans="1:3" x14ac:dyDescent="0.45">
      <c r="A207" s="19">
        <v>45082</v>
      </c>
      <c r="B207" s="1" t="s">
        <v>77</v>
      </c>
      <c r="C207" s="1">
        <v>-7.2</v>
      </c>
    </row>
    <row r="208" spans="1:3" x14ac:dyDescent="0.45">
      <c r="A208" s="19">
        <v>45082</v>
      </c>
      <c r="B208" s="1" t="s">
        <v>77</v>
      </c>
      <c r="C208" s="1">
        <v>-8.82</v>
      </c>
    </row>
    <row r="209" spans="1:3" x14ac:dyDescent="0.45">
      <c r="A209" s="19">
        <v>45082</v>
      </c>
      <c r="B209" s="1" t="s">
        <v>77</v>
      </c>
      <c r="C209" s="1">
        <v>-9.94</v>
      </c>
    </row>
    <row r="210" spans="1:3" x14ac:dyDescent="0.45">
      <c r="A210" s="19">
        <v>45082</v>
      </c>
      <c r="B210" s="1" t="s">
        <v>77</v>
      </c>
      <c r="C210" s="1">
        <v>7.47</v>
      </c>
    </row>
    <row r="211" spans="1:3" x14ac:dyDescent="0.45">
      <c r="A211" s="19">
        <v>45084</v>
      </c>
      <c r="B211" s="1" t="s">
        <v>77</v>
      </c>
      <c r="C211" s="1">
        <v>-13.84</v>
      </c>
    </row>
    <row r="212" spans="1:3" x14ac:dyDescent="0.45">
      <c r="A212" s="19">
        <v>45086</v>
      </c>
      <c r="B212" s="1" t="s">
        <v>77</v>
      </c>
      <c r="C212" s="1">
        <v>-9.59</v>
      </c>
    </row>
    <row r="213" spans="1:3" x14ac:dyDescent="0.45">
      <c r="A213" s="19">
        <v>45086</v>
      </c>
      <c r="B213" s="1" t="s">
        <v>77</v>
      </c>
      <c r="C213" s="1">
        <v>-5.04</v>
      </c>
    </row>
    <row r="214" spans="1:3" x14ac:dyDescent="0.45">
      <c r="A214" s="19">
        <v>45086</v>
      </c>
      <c r="B214" s="1" t="s">
        <v>77</v>
      </c>
      <c r="C214" s="1">
        <v>-14</v>
      </c>
    </row>
    <row r="215" spans="1:3" x14ac:dyDescent="0.45">
      <c r="A215" s="19">
        <v>45087</v>
      </c>
      <c r="B215" s="1" t="s">
        <v>77</v>
      </c>
      <c r="C215" s="1">
        <v>-11.63</v>
      </c>
    </row>
    <row r="216" spans="1:3" x14ac:dyDescent="0.45">
      <c r="A216" s="19">
        <v>45087</v>
      </c>
      <c r="B216" s="1" t="s">
        <v>77</v>
      </c>
      <c r="C216" s="1">
        <v>-10.9</v>
      </c>
    </row>
    <row r="217" spans="1:3" x14ac:dyDescent="0.45">
      <c r="A217" s="19">
        <v>45087</v>
      </c>
      <c r="B217" s="1" t="s">
        <v>77</v>
      </c>
      <c r="C217" s="1">
        <v>-11.65</v>
      </c>
    </row>
    <row r="218" spans="1:3" x14ac:dyDescent="0.45">
      <c r="A218" s="19">
        <v>45089</v>
      </c>
      <c r="B218" s="1" t="s">
        <v>77</v>
      </c>
      <c r="C218" s="1">
        <v>-7.2</v>
      </c>
    </row>
    <row r="219" spans="1:3" x14ac:dyDescent="0.45">
      <c r="A219" s="19">
        <v>45089</v>
      </c>
      <c r="B219" s="1" t="s">
        <v>77</v>
      </c>
      <c r="C219" s="1">
        <v>-13.02</v>
      </c>
    </row>
    <row r="220" spans="1:3" x14ac:dyDescent="0.45">
      <c r="A220" s="19">
        <v>45090</v>
      </c>
      <c r="B220" s="1" t="s">
        <v>77</v>
      </c>
      <c r="C220" s="1">
        <v>-7.47</v>
      </c>
    </row>
    <row r="221" spans="1:3" x14ac:dyDescent="0.45">
      <c r="A221" s="19">
        <v>45090</v>
      </c>
      <c r="B221" s="1" t="s">
        <v>77</v>
      </c>
      <c r="C221" s="1">
        <v>-7.2</v>
      </c>
    </row>
    <row r="222" spans="1:3" x14ac:dyDescent="0.45">
      <c r="A222" s="19">
        <v>45090</v>
      </c>
      <c r="B222" s="1" t="s">
        <v>77</v>
      </c>
      <c r="C222" s="1">
        <v>-15.87</v>
      </c>
    </row>
    <row r="223" spans="1:3" x14ac:dyDescent="0.45">
      <c r="A223" s="19">
        <v>45091</v>
      </c>
      <c r="B223" s="1" t="s">
        <v>77</v>
      </c>
      <c r="C223" s="1">
        <v>-7.2</v>
      </c>
    </row>
    <row r="224" spans="1:3" x14ac:dyDescent="0.45">
      <c r="A224" s="19">
        <v>45091</v>
      </c>
      <c r="B224" s="1" t="s">
        <v>77</v>
      </c>
      <c r="C224" s="1">
        <v>-7</v>
      </c>
    </row>
    <row r="225" spans="1:3" x14ac:dyDescent="0.45">
      <c r="A225" s="19">
        <v>45091</v>
      </c>
      <c r="B225" s="1" t="s">
        <v>77</v>
      </c>
      <c r="C225" s="1">
        <v>-14</v>
      </c>
    </row>
    <row r="226" spans="1:3" x14ac:dyDescent="0.45">
      <c r="A226" s="19">
        <v>45092</v>
      </c>
      <c r="B226" s="1" t="s">
        <v>77</v>
      </c>
      <c r="C226" s="1">
        <v>-7.2</v>
      </c>
    </row>
    <row r="227" spans="1:3" x14ac:dyDescent="0.45">
      <c r="A227" s="19">
        <v>45092</v>
      </c>
      <c r="B227" s="1" t="s">
        <v>77</v>
      </c>
      <c r="C227" s="1">
        <v>-9.59</v>
      </c>
    </row>
    <row r="228" spans="1:3" x14ac:dyDescent="0.45">
      <c r="A228" s="19">
        <v>45092</v>
      </c>
      <c r="B228" s="1" t="s">
        <v>77</v>
      </c>
      <c r="C228" s="1">
        <v>-13.92</v>
      </c>
    </row>
    <row r="229" spans="1:3" x14ac:dyDescent="0.45">
      <c r="A229" s="19">
        <v>45093</v>
      </c>
      <c r="B229" s="1" t="s">
        <v>77</v>
      </c>
      <c r="C229" s="1">
        <v>-7.25</v>
      </c>
    </row>
    <row r="230" spans="1:3" x14ac:dyDescent="0.45">
      <c r="A230" s="19">
        <v>45093</v>
      </c>
      <c r="B230" s="1" t="s">
        <v>77</v>
      </c>
      <c r="C230" s="1">
        <v>-7.2</v>
      </c>
    </row>
    <row r="231" spans="1:3" x14ac:dyDescent="0.45">
      <c r="A231" s="19">
        <v>45093</v>
      </c>
      <c r="B231" s="1" t="s">
        <v>77</v>
      </c>
      <c r="C231" s="1">
        <v>-6.07</v>
      </c>
    </row>
    <row r="232" spans="1:3" x14ac:dyDescent="0.45">
      <c r="A232" s="19">
        <v>45094</v>
      </c>
      <c r="B232" s="1" t="s">
        <v>77</v>
      </c>
      <c r="C232" s="1">
        <v>-7.15</v>
      </c>
    </row>
    <row r="233" spans="1:3" x14ac:dyDescent="0.45">
      <c r="A233" s="19">
        <v>45094</v>
      </c>
      <c r="B233" s="1" t="s">
        <v>77</v>
      </c>
      <c r="C233" s="1">
        <v>-7.2</v>
      </c>
    </row>
    <row r="234" spans="1:3" x14ac:dyDescent="0.45">
      <c r="A234" s="19">
        <v>45094</v>
      </c>
      <c r="B234" s="1" t="s">
        <v>77</v>
      </c>
      <c r="C234" s="1">
        <v>-11.98</v>
      </c>
    </row>
    <row r="235" spans="1:3" x14ac:dyDescent="0.45">
      <c r="A235" s="19">
        <v>45097</v>
      </c>
      <c r="B235" s="1" t="s">
        <v>77</v>
      </c>
      <c r="C235" s="1">
        <v>-15</v>
      </c>
    </row>
    <row r="236" spans="1:3" x14ac:dyDescent="0.45">
      <c r="A236" s="19">
        <v>45097</v>
      </c>
      <c r="B236" s="1" t="s">
        <v>77</v>
      </c>
      <c r="C236" s="1">
        <v>-11.87</v>
      </c>
    </row>
    <row r="237" spans="1:3" x14ac:dyDescent="0.45">
      <c r="A237" s="19">
        <v>45097</v>
      </c>
      <c r="B237" s="1" t="s">
        <v>77</v>
      </c>
      <c r="C237" s="1">
        <v>-9.59</v>
      </c>
    </row>
    <row r="238" spans="1:3" x14ac:dyDescent="0.45">
      <c r="A238" s="19">
        <v>45097</v>
      </c>
      <c r="B238" s="1" t="s">
        <v>77</v>
      </c>
      <c r="C238" s="1">
        <v>-4.8099999999999996</v>
      </c>
    </row>
    <row r="239" spans="1:3" x14ac:dyDescent="0.45">
      <c r="A239" s="19">
        <v>45097</v>
      </c>
      <c r="B239" s="1" t="s">
        <v>77</v>
      </c>
      <c r="C239" s="1">
        <v>-7.25</v>
      </c>
    </row>
    <row r="240" spans="1:3" x14ac:dyDescent="0.45">
      <c r="A240" s="19">
        <v>45105</v>
      </c>
      <c r="B240" s="1" t="s">
        <v>77</v>
      </c>
      <c r="C240" s="1">
        <v>-13.21</v>
      </c>
    </row>
    <row r="241" spans="1:3" x14ac:dyDescent="0.45">
      <c r="A241" s="19">
        <v>45105</v>
      </c>
      <c r="B241" s="1" t="s">
        <v>77</v>
      </c>
      <c r="C241" s="1">
        <v>-7.2</v>
      </c>
    </row>
    <row r="242" spans="1:3" x14ac:dyDescent="0.45">
      <c r="A242" s="19">
        <v>45105</v>
      </c>
      <c r="B242" s="1" t="s">
        <v>77</v>
      </c>
      <c r="C242" s="1">
        <v>-7.47</v>
      </c>
    </row>
    <row r="243" spans="1:3" x14ac:dyDescent="0.45">
      <c r="A243" s="19">
        <v>45105</v>
      </c>
      <c r="B243" s="1" t="s">
        <v>77</v>
      </c>
      <c r="C243" s="1">
        <v>-8.82</v>
      </c>
    </row>
    <row r="244" spans="1:3" x14ac:dyDescent="0.45">
      <c r="A244" s="19">
        <v>45105</v>
      </c>
      <c r="B244" s="1" t="s">
        <v>77</v>
      </c>
      <c r="C244" s="1">
        <v>-4.1500000000000004</v>
      </c>
    </row>
    <row r="245" spans="1:3" x14ac:dyDescent="0.45">
      <c r="A245" s="19">
        <v>45105</v>
      </c>
      <c r="B245" s="1" t="s">
        <v>77</v>
      </c>
      <c r="C245" s="1">
        <v>-12.54</v>
      </c>
    </row>
    <row r="246" spans="1:3" x14ac:dyDescent="0.45">
      <c r="A246" s="19">
        <v>45105</v>
      </c>
      <c r="B246" s="1" t="s">
        <v>77</v>
      </c>
      <c r="C246" s="1">
        <v>-8.82</v>
      </c>
    </row>
    <row r="247" spans="1:3" x14ac:dyDescent="0.45">
      <c r="A247" s="19">
        <v>45105</v>
      </c>
      <c r="B247" s="1" t="s">
        <v>77</v>
      </c>
      <c r="C247" s="1">
        <v>-7.2</v>
      </c>
    </row>
    <row r="248" spans="1:3" x14ac:dyDescent="0.45">
      <c r="A248" s="19">
        <v>45105</v>
      </c>
      <c r="B248" s="1" t="s">
        <v>77</v>
      </c>
      <c r="C248" s="1">
        <v>-7.88</v>
      </c>
    </row>
    <row r="249" spans="1:3" x14ac:dyDescent="0.45">
      <c r="A249" s="19">
        <v>45105</v>
      </c>
      <c r="B249" s="1" t="s">
        <v>77</v>
      </c>
      <c r="C249" s="1">
        <v>-7.88</v>
      </c>
    </row>
    <row r="250" spans="1:3" x14ac:dyDescent="0.45">
      <c r="A250" s="19">
        <v>45105</v>
      </c>
      <c r="B250" s="1" t="s">
        <v>77</v>
      </c>
      <c r="C250" s="1">
        <v>-11.65</v>
      </c>
    </row>
    <row r="251" spans="1:3" x14ac:dyDescent="0.45">
      <c r="A251" s="19">
        <v>45106</v>
      </c>
      <c r="B251" s="1" t="s">
        <v>77</v>
      </c>
      <c r="C251" s="1">
        <v>-15.9</v>
      </c>
    </row>
    <row r="252" spans="1:3" x14ac:dyDescent="0.45">
      <c r="A252" s="19">
        <v>45106</v>
      </c>
      <c r="B252" s="1" t="s">
        <v>77</v>
      </c>
      <c r="C252" s="1">
        <v>-9.94</v>
      </c>
    </row>
    <row r="253" spans="1:3" x14ac:dyDescent="0.45">
      <c r="A253" s="19">
        <v>45107</v>
      </c>
      <c r="B253" s="1" t="s">
        <v>77</v>
      </c>
      <c r="C253" s="1">
        <v>-7.2</v>
      </c>
    </row>
    <row r="254" spans="1:3" x14ac:dyDescent="0.45">
      <c r="A254" s="19">
        <v>45108</v>
      </c>
      <c r="B254" s="1" t="s">
        <v>77</v>
      </c>
      <c r="C254" s="1">
        <v>-4.2</v>
      </c>
    </row>
    <row r="255" spans="1:3" x14ac:dyDescent="0.45">
      <c r="A255" s="19">
        <v>45110</v>
      </c>
      <c r="B255" s="1" t="s">
        <v>77</v>
      </c>
      <c r="C255" s="1">
        <v>-7.2</v>
      </c>
    </row>
    <row r="256" spans="1:3" x14ac:dyDescent="0.45">
      <c r="A256" s="19">
        <v>45110</v>
      </c>
      <c r="B256" s="1" t="s">
        <v>77</v>
      </c>
      <c r="C256" s="1">
        <v>-9.94</v>
      </c>
    </row>
    <row r="257" spans="1:3" x14ac:dyDescent="0.45">
      <c r="A257" s="19">
        <v>45110</v>
      </c>
      <c r="B257" s="1" t="s">
        <v>77</v>
      </c>
      <c r="C257" s="1">
        <v>-16.920000000000002</v>
      </c>
    </row>
    <row r="258" spans="1:3" x14ac:dyDescent="0.45">
      <c r="A258" s="19">
        <v>45112</v>
      </c>
      <c r="B258" s="1" t="s">
        <v>77</v>
      </c>
      <c r="C258" s="1">
        <v>-4.2</v>
      </c>
    </row>
    <row r="259" spans="1:3" x14ac:dyDescent="0.45">
      <c r="A259" s="19">
        <v>45112</v>
      </c>
      <c r="B259" s="1" t="s">
        <v>77</v>
      </c>
      <c r="C259" s="1">
        <v>-19.07</v>
      </c>
    </row>
    <row r="260" spans="1:3" x14ac:dyDescent="0.45">
      <c r="A260" s="19">
        <v>45112</v>
      </c>
      <c r="B260" s="1" t="s">
        <v>77</v>
      </c>
      <c r="C260" s="1">
        <v>-9.59</v>
      </c>
    </row>
    <row r="261" spans="1:3" x14ac:dyDescent="0.45">
      <c r="A261" s="19">
        <v>45112</v>
      </c>
      <c r="B261" s="1" t="s">
        <v>77</v>
      </c>
      <c r="C261" s="1">
        <v>-9.9</v>
      </c>
    </row>
    <row r="262" spans="1:3" x14ac:dyDescent="0.45">
      <c r="A262" s="19">
        <v>45113</v>
      </c>
      <c r="B262" s="1" t="s">
        <v>77</v>
      </c>
      <c r="C262" s="1">
        <v>-7.2</v>
      </c>
    </row>
    <row r="263" spans="1:3" x14ac:dyDescent="0.45">
      <c r="A263" s="19">
        <v>45117</v>
      </c>
      <c r="B263" s="1" t="s">
        <v>77</v>
      </c>
      <c r="C263" s="1">
        <v>-9.9</v>
      </c>
    </row>
    <row r="264" spans="1:3" x14ac:dyDescent="0.45">
      <c r="A264" s="19">
        <v>45117</v>
      </c>
      <c r="B264" s="1" t="s">
        <v>77</v>
      </c>
      <c r="C264" s="1">
        <v>-10.47</v>
      </c>
    </row>
    <row r="265" spans="1:3" x14ac:dyDescent="0.45">
      <c r="A265" s="19">
        <v>45117</v>
      </c>
      <c r="B265" s="1" t="s">
        <v>77</v>
      </c>
      <c r="C265" s="1">
        <v>-10.09</v>
      </c>
    </row>
    <row r="266" spans="1:3" x14ac:dyDescent="0.45">
      <c r="A266" s="19">
        <v>45117</v>
      </c>
      <c r="B266" s="1" t="s">
        <v>77</v>
      </c>
      <c r="C266" s="1">
        <v>-14.88</v>
      </c>
    </row>
    <row r="267" spans="1:3" x14ac:dyDescent="0.45">
      <c r="A267" s="19">
        <v>45118</v>
      </c>
      <c r="B267" s="1" t="s">
        <v>77</v>
      </c>
      <c r="C267" s="1">
        <v>-10.09</v>
      </c>
    </row>
    <row r="268" spans="1:3" x14ac:dyDescent="0.45">
      <c r="A268" s="19">
        <v>45118</v>
      </c>
      <c r="B268" s="1" t="s">
        <v>77</v>
      </c>
      <c r="C268" s="1">
        <v>-7.2</v>
      </c>
    </row>
    <row r="269" spans="1:3" x14ac:dyDescent="0.45">
      <c r="A269" s="19">
        <v>45120</v>
      </c>
      <c r="B269" s="1" t="s">
        <v>77</v>
      </c>
      <c r="C269" s="1">
        <v>-7.25</v>
      </c>
    </row>
    <row r="270" spans="1:3" x14ac:dyDescent="0.45">
      <c r="A270" s="19">
        <v>45121</v>
      </c>
      <c r="B270" s="1" t="s">
        <v>77</v>
      </c>
      <c r="C270" s="1">
        <v>-7.25</v>
      </c>
    </row>
    <row r="271" spans="1:3" x14ac:dyDescent="0.45">
      <c r="A271" s="19">
        <v>45124</v>
      </c>
      <c r="B271" s="1" t="s">
        <v>77</v>
      </c>
      <c r="C271" s="1">
        <v>-12.22</v>
      </c>
    </row>
    <row r="272" spans="1:3" x14ac:dyDescent="0.45">
      <c r="A272" s="19">
        <v>45124</v>
      </c>
      <c r="B272" s="1" t="s">
        <v>77</v>
      </c>
      <c r="C272" s="1">
        <v>-7.96</v>
      </c>
    </row>
    <row r="273" spans="1:3" x14ac:dyDescent="0.45">
      <c r="A273" s="19">
        <v>45124</v>
      </c>
      <c r="B273" s="1" t="s">
        <v>77</v>
      </c>
      <c r="C273" s="1">
        <v>-7.2</v>
      </c>
    </row>
    <row r="274" spans="1:3" x14ac:dyDescent="0.45">
      <c r="A274" s="19">
        <v>45125</v>
      </c>
      <c r="B274" s="1" t="s">
        <v>77</v>
      </c>
      <c r="C274" s="1">
        <v>-14</v>
      </c>
    </row>
    <row r="275" spans="1:3" x14ac:dyDescent="0.45">
      <c r="A275" s="19">
        <v>45125</v>
      </c>
      <c r="B275" s="1" t="s">
        <v>77</v>
      </c>
      <c r="C275" s="1">
        <v>-7.2</v>
      </c>
    </row>
    <row r="276" spans="1:3" x14ac:dyDescent="0.45">
      <c r="A276" s="19">
        <v>45125</v>
      </c>
      <c r="B276" s="1" t="s">
        <v>77</v>
      </c>
      <c r="C276" s="1">
        <v>-7.85</v>
      </c>
    </row>
    <row r="277" spans="1:3" x14ac:dyDescent="0.45">
      <c r="A277" s="19">
        <v>45125</v>
      </c>
      <c r="B277" s="1" t="s">
        <v>77</v>
      </c>
      <c r="C277" s="1">
        <v>-5.04</v>
      </c>
    </row>
    <row r="278" spans="1:3" x14ac:dyDescent="0.45">
      <c r="A278" s="19">
        <v>45125</v>
      </c>
      <c r="B278" s="1" t="s">
        <v>77</v>
      </c>
      <c r="C278" s="1">
        <v>-28.48</v>
      </c>
    </row>
    <row r="279" spans="1:3" x14ac:dyDescent="0.45">
      <c r="A279" s="19">
        <v>45125</v>
      </c>
      <c r="B279" s="1" t="s">
        <v>77</v>
      </c>
      <c r="C279" s="1">
        <v>-37.82</v>
      </c>
    </row>
    <row r="280" spans="1:3" x14ac:dyDescent="0.45">
      <c r="A280" s="19">
        <v>45125</v>
      </c>
      <c r="B280" s="1" t="s">
        <v>77</v>
      </c>
      <c r="C280" s="1">
        <v>-1.73</v>
      </c>
    </row>
    <row r="281" spans="1:3" x14ac:dyDescent="0.45">
      <c r="A281" s="19">
        <v>45126</v>
      </c>
      <c r="B281" s="1" t="s">
        <v>77</v>
      </c>
      <c r="C281" s="1">
        <v>-9.9</v>
      </c>
    </row>
    <row r="282" spans="1:3" x14ac:dyDescent="0.45">
      <c r="A282" s="19">
        <v>45128</v>
      </c>
      <c r="B282" s="1" t="s">
        <v>77</v>
      </c>
      <c r="C282" s="1">
        <v>-8.75</v>
      </c>
    </row>
    <row r="283" spans="1:3" x14ac:dyDescent="0.45">
      <c r="A283" s="19">
        <v>45131</v>
      </c>
      <c r="B283" s="1" t="s">
        <v>77</v>
      </c>
      <c r="C283" s="1">
        <v>-9.58</v>
      </c>
    </row>
    <row r="284" spans="1:3" x14ac:dyDescent="0.45">
      <c r="A284" s="19">
        <v>45131</v>
      </c>
      <c r="B284" s="1" t="s">
        <v>77</v>
      </c>
      <c r="C284" s="1">
        <v>-7.2</v>
      </c>
    </row>
    <row r="285" spans="1:3" x14ac:dyDescent="0.45">
      <c r="A285" s="19">
        <v>45131</v>
      </c>
      <c r="B285" s="1" t="s">
        <v>77</v>
      </c>
      <c r="C285" s="1">
        <v>-7.88</v>
      </c>
    </row>
    <row r="286" spans="1:3" x14ac:dyDescent="0.45">
      <c r="A286" s="19">
        <v>45131</v>
      </c>
      <c r="B286" s="1" t="s">
        <v>77</v>
      </c>
      <c r="C286" s="1">
        <v>-7.96</v>
      </c>
    </row>
    <row r="287" spans="1:3" x14ac:dyDescent="0.45">
      <c r="A287" s="19">
        <v>45131</v>
      </c>
      <c r="B287" s="1" t="s">
        <v>77</v>
      </c>
      <c r="C287" s="1">
        <v>-14</v>
      </c>
    </row>
    <row r="288" spans="1:3" x14ac:dyDescent="0.45">
      <c r="A288" s="19">
        <v>45131</v>
      </c>
      <c r="B288" s="1" t="s">
        <v>77</v>
      </c>
      <c r="C288" s="1">
        <v>-3.75</v>
      </c>
    </row>
    <row r="289" spans="1:3" x14ac:dyDescent="0.45">
      <c r="A289" s="19">
        <v>45132</v>
      </c>
      <c r="B289" s="1" t="s">
        <v>77</v>
      </c>
      <c r="C289" s="1">
        <v>-15.53</v>
      </c>
    </row>
    <row r="290" spans="1:3" x14ac:dyDescent="0.45">
      <c r="A290" s="19">
        <v>45132</v>
      </c>
      <c r="B290" s="1" t="s">
        <v>77</v>
      </c>
      <c r="C290" s="1">
        <v>-20.6</v>
      </c>
    </row>
    <row r="291" spans="1:3" x14ac:dyDescent="0.45">
      <c r="A291" s="19">
        <v>45134</v>
      </c>
      <c r="B291" s="1" t="s">
        <v>77</v>
      </c>
      <c r="C291" s="1">
        <v>-13.06</v>
      </c>
    </row>
    <row r="292" spans="1:3" x14ac:dyDescent="0.45">
      <c r="A292" s="19">
        <v>45134</v>
      </c>
      <c r="B292" s="1" t="s">
        <v>77</v>
      </c>
      <c r="C292" s="1">
        <v>-7.2</v>
      </c>
    </row>
    <row r="293" spans="1:3" x14ac:dyDescent="0.45">
      <c r="A293" s="19">
        <v>45136</v>
      </c>
      <c r="B293" s="1" t="s">
        <v>77</v>
      </c>
      <c r="C293" s="1">
        <v>-8.75</v>
      </c>
    </row>
    <row r="294" spans="1:3" x14ac:dyDescent="0.45">
      <c r="A294" s="19">
        <v>45136</v>
      </c>
      <c r="B294" s="1" t="s">
        <v>77</v>
      </c>
      <c r="C294" s="1">
        <v>-7.2</v>
      </c>
    </row>
    <row r="295" spans="1:3" x14ac:dyDescent="0.45">
      <c r="A295" s="19">
        <v>45138</v>
      </c>
      <c r="B295" s="1" t="s">
        <v>77</v>
      </c>
      <c r="C295" s="1">
        <v>-7.2</v>
      </c>
    </row>
    <row r="296" spans="1:3" x14ac:dyDescent="0.45">
      <c r="A296" s="19">
        <v>45138</v>
      </c>
      <c r="B296" s="1" t="s">
        <v>77</v>
      </c>
      <c r="C296" s="1">
        <v>-9.9</v>
      </c>
    </row>
    <row r="297" spans="1:3" x14ac:dyDescent="0.45">
      <c r="A297" s="19">
        <v>45138</v>
      </c>
      <c r="B297" s="1" t="s">
        <v>77</v>
      </c>
      <c r="C297" s="1">
        <v>-7.96</v>
      </c>
    </row>
    <row r="298" spans="1:3" x14ac:dyDescent="0.45">
      <c r="A298" s="19">
        <v>45139</v>
      </c>
      <c r="B298" s="1" t="s">
        <v>77</v>
      </c>
      <c r="C298" s="1">
        <v>-18.11</v>
      </c>
    </row>
    <row r="299" spans="1:3" x14ac:dyDescent="0.45">
      <c r="A299" s="19">
        <v>45139</v>
      </c>
      <c r="B299" s="1" t="s">
        <v>77</v>
      </c>
      <c r="C299" s="1">
        <v>-7.2</v>
      </c>
    </row>
    <row r="300" spans="1:3" x14ac:dyDescent="0.45">
      <c r="A300" s="19">
        <v>45140</v>
      </c>
      <c r="B300" s="1" t="s">
        <v>77</v>
      </c>
      <c r="C300" s="1">
        <v>-16.600000000000001</v>
      </c>
    </row>
    <row r="301" spans="1:3" x14ac:dyDescent="0.45">
      <c r="A301" s="19">
        <v>45140</v>
      </c>
      <c r="B301" s="1" t="s">
        <v>77</v>
      </c>
      <c r="C301" s="1">
        <v>-15.14</v>
      </c>
    </row>
    <row r="302" spans="1:3" x14ac:dyDescent="0.45">
      <c r="A302" s="19">
        <v>45140</v>
      </c>
      <c r="B302" s="1" t="s">
        <v>77</v>
      </c>
      <c r="C302" s="1">
        <v>-13.42</v>
      </c>
    </row>
    <row r="303" spans="1:3" x14ac:dyDescent="0.45">
      <c r="A303" s="19">
        <v>45140</v>
      </c>
      <c r="B303" s="1" t="s">
        <v>77</v>
      </c>
      <c r="C303" s="1">
        <v>-7.96</v>
      </c>
    </row>
    <row r="304" spans="1:3" x14ac:dyDescent="0.45">
      <c r="A304" s="19">
        <v>45140</v>
      </c>
      <c r="B304" s="1" t="s">
        <v>77</v>
      </c>
      <c r="C304" s="1">
        <v>-7.2</v>
      </c>
    </row>
    <row r="305" spans="1:3" x14ac:dyDescent="0.45">
      <c r="A305" s="19">
        <v>45145</v>
      </c>
      <c r="B305" s="1" t="s">
        <v>77</v>
      </c>
      <c r="C305" s="1">
        <v>-14.43</v>
      </c>
    </row>
    <row r="306" spans="1:3" x14ac:dyDescent="0.45">
      <c r="A306" s="19">
        <v>45145</v>
      </c>
      <c r="B306" s="1" t="s">
        <v>77</v>
      </c>
      <c r="C306" s="1">
        <v>-9.4700000000000006</v>
      </c>
    </row>
    <row r="307" spans="1:3" x14ac:dyDescent="0.45">
      <c r="A307" s="19">
        <v>45145</v>
      </c>
      <c r="B307" s="1" t="s">
        <v>77</v>
      </c>
      <c r="C307" s="1">
        <v>-7.04</v>
      </c>
    </row>
    <row r="308" spans="1:3" x14ac:dyDescent="0.45">
      <c r="A308" s="19">
        <v>45145</v>
      </c>
      <c r="B308" s="1" t="s">
        <v>77</v>
      </c>
      <c r="C308" s="1">
        <v>-4.2</v>
      </c>
    </row>
    <row r="309" spans="1:3" x14ac:dyDescent="0.45">
      <c r="A309" s="19">
        <v>45145</v>
      </c>
      <c r="B309" s="1" t="s">
        <v>77</v>
      </c>
      <c r="C309" s="1">
        <v>-11.62</v>
      </c>
    </row>
    <row r="310" spans="1:3" x14ac:dyDescent="0.45">
      <c r="A310" s="19">
        <v>45146</v>
      </c>
      <c r="B310" s="1" t="s">
        <v>77</v>
      </c>
      <c r="C310" s="1">
        <v>-7.2</v>
      </c>
    </row>
    <row r="311" spans="1:3" x14ac:dyDescent="0.45">
      <c r="A311" s="19">
        <v>45146</v>
      </c>
      <c r="B311" s="1" t="s">
        <v>77</v>
      </c>
      <c r="C311" s="1">
        <v>-7.25</v>
      </c>
    </row>
    <row r="312" spans="1:3" x14ac:dyDescent="0.45">
      <c r="A312" s="19">
        <v>45148</v>
      </c>
      <c r="B312" s="1" t="s">
        <v>77</v>
      </c>
      <c r="C312" s="1">
        <v>-8.82</v>
      </c>
    </row>
    <row r="313" spans="1:3" x14ac:dyDescent="0.45">
      <c r="A313" s="19">
        <v>45149</v>
      </c>
      <c r="B313" s="1" t="s">
        <v>77</v>
      </c>
      <c r="C313" s="1">
        <v>-7.88</v>
      </c>
    </row>
    <row r="314" spans="1:3" x14ac:dyDescent="0.45">
      <c r="A314" s="19">
        <v>45152</v>
      </c>
      <c r="B314" s="1" t="s">
        <v>77</v>
      </c>
      <c r="C314" s="1">
        <v>-11.43</v>
      </c>
    </row>
    <row r="315" spans="1:3" x14ac:dyDescent="0.45">
      <c r="A315" s="19">
        <v>45152</v>
      </c>
      <c r="B315" s="1" t="s">
        <v>77</v>
      </c>
      <c r="C315" s="1">
        <v>-12.02</v>
      </c>
    </row>
    <row r="316" spans="1:3" x14ac:dyDescent="0.45">
      <c r="A316" s="19">
        <v>45152</v>
      </c>
      <c r="B316" s="1" t="s">
        <v>77</v>
      </c>
      <c r="C316" s="1">
        <v>-12.22</v>
      </c>
    </row>
    <row r="317" spans="1:3" x14ac:dyDescent="0.45">
      <c r="A317" s="19">
        <v>45152</v>
      </c>
      <c r="B317" s="1" t="s">
        <v>77</v>
      </c>
      <c r="C317" s="1">
        <v>-7.47</v>
      </c>
    </row>
    <row r="318" spans="1:3" x14ac:dyDescent="0.45">
      <c r="A318" s="19">
        <v>45155</v>
      </c>
      <c r="B318" s="1" t="s">
        <v>77</v>
      </c>
      <c r="C318" s="1">
        <v>-11.62</v>
      </c>
    </row>
    <row r="319" spans="1:3" x14ac:dyDescent="0.45">
      <c r="A319" s="19">
        <v>45156</v>
      </c>
      <c r="B319" s="1" t="s">
        <v>77</v>
      </c>
      <c r="C319" s="1">
        <v>-9.9</v>
      </c>
    </row>
    <row r="320" spans="1:3" x14ac:dyDescent="0.45">
      <c r="A320" s="19">
        <v>45156</v>
      </c>
      <c r="B320" s="1" t="s">
        <v>77</v>
      </c>
      <c r="C320" s="1">
        <v>-10.68</v>
      </c>
    </row>
    <row r="321" spans="1:3" x14ac:dyDescent="0.45">
      <c r="A321" s="19">
        <v>45159</v>
      </c>
      <c r="B321" s="1" t="s">
        <v>77</v>
      </c>
      <c r="C321" s="1">
        <v>-17.96</v>
      </c>
    </row>
    <row r="322" spans="1:3" x14ac:dyDescent="0.45">
      <c r="A322" s="19">
        <v>45159</v>
      </c>
      <c r="B322" s="1" t="s">
        <v>77</v>
      </c>
      <c r="C322" s="1">
        <v>-12.87</v>
      </c>
    </row>
    <row r="323" spans="1:3" x14ac:dyDescent="0.45">
      <c r="A323" s="19">
        <v>45159</v>
      </c>
      <c r="B323" s="1" t="s">
        <v>77</v>
      </c>
      <c r="C323" s="1">
        <v>-11.65</v>
      </c>
    </row>
    <row r="324" spans="1:3" x14ac:dyDescent="0.45">
      <c r="A324" s="19">
        <v>45160</v>
      </c>
      <c r="B324" s="1" t="s">
        <v>77</v>
      </c>
      <c r="C324" s="1">
        <v>-7.88</v>
      </c>
    </row>
    <row r="325" spans="1:3" x14ac:dyDescent="0.45">
      <c r="A325" s="19">
        <v>45160</v>
      </c>
      <c r="B325" s="1" t="s">
        <v>77</v>
      </c>
      <c r="C325" s="1">
        <v>-8.82</v>
      </c>
    </row>
    <row r="326" spans="1:3" x14ac:dyDescent="0.45">
      <c r="A326" s="19">
        <v>45160</v>
      </c>
      <c r="B326" s="1" t="s">
        <v>77</v>
      </c>
      <c r="C326" s="1">
        <v>-8.41</v>
      </c>
    </row>
    <row r="327" spans="1:3" x14ac:dyDescent="0.45">
      <c r="A327" s="19">
        <v>45161</v>
      </c>
      <c r="B327" s="1" t="s">
        <v>77</v>
      </c>
      <c r="C327" s="1">
        <v>-6.6</v>
      </c>
    </row>
    <row r="328" spans="1:3" x14ac:dyDescent="0.45">
      <c r="A328" s="19">
        <v>45162</v>
      </c>
      <c r="B328" s="1" t="s">
        <v>77</v>
      </c>
      <c r="C328" s="1">
        <v>-11.65</v>
      </c>
    </row>
    <row r="329" spans="1:3" x14ac:dyDescent="0.45">
      <c r="A329" s="19">
        <v>45162</v>
      </c>
      <c r="B329" s="1" t="s">
        <v>77</v>
      </c>
      <c r="C329" s="1">
        <v>-6.78</v>
      </c>
    </row>
    <row r="330" spans="1:3" x14ac:dyDescent="0.45">
      <c r="A330" s="19">
        <v>45162</v>
      </c>
      <c r="B330" s="1" t="s">
        <v>77</v>
      </c>
      <c r="C330" s="1">
        <v>-7.04</v>
      </c>
    </row>
    <row r="331" spans="1:3" x14ac:dyDescent="0.45">
      <c r="A331" s="19">
        <v>45163</v>
      </c>
      <c r="B331" s="1" t="s">
        <v>77</v>
      </c>
      <c r="C331" s="1">
        <v>-15.14</v>
      </c>
    </row>
    <row r="332" spans="1:3" x14ac:dyDescent="0.45">
      <c r="A332" s="19">
        <v>45164</v>
      </c>
      <c r="B332" s="1" t="s">
        <v>77</v>
      </c>
      <c r="C332" s="1">
        <v>-9.61</v>
      </c>
    </row>
    <row r="333" spans="1:3" x14ac:dyDescent="0.45">
      <c r="A333" s="19">
        <v>45164</v>
      </c>
      <c r="B333" s="1" t="s">
        <v>77</v>
      </c>
      <c r="C333" s="1">
        <v>-11.65</v>
      </c>
    </row>
    <row r="334" spans="1:3" x14ac:dyDescent="0.45">
      <c r="A334" s="19">
        <v>45164</v>
      </c>
      <c r="B334" s="1" t="s">
        <v>77</v>
      </c>
      <c r="C334" s="1">
        <v>-3.75</v>
      </c>
    </row>
    <row r="335" spans="1:3" x14ac:dyDescent="0.45">
      <c r="A335" s="19">
        <v>45166</v>
      </c>
      <c r="B335" s="1" t="s">
        <v>77</v>
      </c>
      <c r="C335" s="1">
        <v>-19.95</v>
      </c>
    </row>
    <row r="336" spans="1:3" x14ac:dyDescent="0.45">
      <c r="A336" s="19">
        <v>45166</v>
      </c>
      <c r="B336" s="1" t="s">
        <v>77</v>
      </c>
      <c r="C336" s="1">
        <v>-13.06</v>
      </c>
    </row>
    <row r="337" spans="1:3" x14ac:dyDescent="0.45">
      <c r="A337" s="19">
        <v>45166</v>
      </c>
      <c r="B337" s="1" t="s">
        <v>77</v>
      </c>
      <c r="C337" s="1">
        <v>-9.9</v>
      </c>
    </row>
    <row r="338" spans="1:3" x14ac:dyDescent="0.45">
      <c r="A338" s="19">
        <v>45166</v>
      </c>
      <c r="B338" s="1" t="s">
        <v>77</v>
      </c>
      <c r="C338" s="1">
        <v>-9.2100000000000009</v>
      </c>
    </row>
    <row r="339" spans="1:3" x14ac:dyDescent="0.45">
      <c r="A339" s="19">
        <v>45166</v>
      </c>
      <c r="B339" s="1" t="s">
        <v>77</v>
      </c>
      <c r="C339" s="1">
        <v>-7.47</v>
      </c>
    </row>
    <row r="340" spans="1:3" x14ac:dyDescent="0.45">
      <c r="A340" s="19">
        <v>45167</v>
      </c>
      <c r="B340" s="1" t="s">
        <v>77</v>
      </c>
      <c r="C340" s="1">
        <v>-23.82</v>
      </c>
    </row>
    <row r="341" spans="1:3" x14ac:dyDescent="0.45">
      <c r="A341" s="19">
        <v>45167</v>
      </c>
      <c r="B341" s="1" t="s">
        <v>77</v>
      </c>
      <c r="C341" s="1">
        <v>-7.2</v>
      </c>
    </row>
    <row r="342" spans="1:3" x14ac:dyDescent="0.45">
      <c r="A342" s="19">
        <v>45167</v>
      </c>
      <c r="B342" s="1" t="s">
        <v>77</v>
      </c>
      <c r="C342" s="1">
        <v>-7.2</v>
      </c>
    </row>
    <row r="343" spans="1:3" x14ac:dyDescent="0.45">
      <c r="A343" s="19">
        <v>45169</v>
      </c>
      <c r="B343" s="1" t="s">
        <v>77</v>
      </c>
      <c r="C343" s="1">
        <v>-10.61</v>
      </c>
    </row>
    <row r="344" spans="1:3" x14ac:dyDescent="0.45">
      <c r="A344" s="19">
        <v>45170</v>
      </c>
      <c r="B344" s="1" t="s">
        <v>77</v>
      </c>
      <c r="C344" s="1">
        <v>-16.55</v>
      </c>
    </row>
    <row r="345" spans="1:3" x14ac:dyDescent="0.45">
      <c r="A345" s="19">
        <v>45170</v>
      </c>
      <c r="B345" s="1" t="s">
        <v>77</v>
      </c>
      <c r="C345" s="1">
        <v>-7.25</v>
      </c>
    </row>
    <row r="346" spans="1:3" x14ac:dyDescent="0.45">
      <c r="A346" s="19">
        <v>45170</v>
      </c>
      <c r="B346" s="1" t="s">
        <v>77</v>
      </c>
      <c r="C346" s="1">
        <v>-9.9</v>
      </c>
    </row>
    <row r="347" spans="1:3" x14ac:dyDescent="0.45">
      <c r="A347" s="19">
        <v>45170</v>
      </c>
      <c r="B347" s="1" t="s">
        <v>77</v>
      </c>
      <c r="C347" s="1">
        <v>-12.96</v>
      </c>
    </row>
    <row r="348" spans="1:3" x14ac:dyDescent="0.45">
      <c r="A348" s="19">
        <v>45171</v>
      </c>
      <c r="B348" s="1" t="s">
        <v>77</v>
      </c>
      <c r="C348" s="1">
        <v>-7.2</v>
      </c>
    </row>
    <row r="349" spans="1:3" x14ac:dyDescent="0.45">
      <c r="A349" s="19">
        <v>45174</v>
      </c>
      <c r="B349" s="1" t="s">
        <v>77</v>
      </c>
      <c r="C349" s="1">
        <v>-9.59</v>
      </c>
    </row>
    <row r="350" spans="1:3" x14ac:dyDescent="0.45">
      <c r="A350" s="19">
        <v>45174</v>
      </c>
      <c r="B350" s="1" t="s">
        <v>77</v>
      </c>
      <c r="C350" s="1">
        <v>-7.2</v>
      </c>
    </row>
    <row r="351" spans="1:3" x14ac:dyDescent="0.45">
      <c r="A351" s="19">
        <v>45174</v>
      </c>
      <c r="B351" s="1" t="s">
        <v>77</v>
      </c>
      <c r="C351" s="1">
        <v>-7.2</v>
      </c>
    </row>
    <row r="352" spans="1:3" x14ac:dyDescent="0.45">
      <c r="A352" s="19">
        <v>45174</v>
      </c>
      <c r="B352" s="1" t="s">
        <v>77</v>
      </c>
      <c r="C352" s="1">
        <v>-4.09</v>
      </c>
    </row>
    <row r="353" spans="1:3" x14ac:dyDescent="0.45">
      <c r="A353" s="19">
        <v>45174</v>
      </c>
      <c r="B353" s="1" t="s">
        <v>77</v>
      </c>
      <c r="C353" s="1">
        <v>-7.2</v>
      </c>
    </row>
    <row r="354" spans="1:3" x14ac:dyDescent="0.45">
      <c r="A354" s="19">
        <v>45174</v>
      </c>
      <c r="B354" s="1" t="s">
        <v>77</v>
      </c>
      <c r="C354" s="1">
        <v>-5.17</v>
      </c>
    </row>
    <row r="355" spans="1:3" x14ac:dyDescent="0.45">
      <c r="A355" s="19">
        <v>45176</v>
      </c>
      <c r="B355" s="1" t="s">
        <v>77</v>
      </c>
      <c r="C355" s="1">
        <v>-4.8099999999999996</v>
      </c>
    </row>
    <row r="356" spans="1:3" x14ac:dyDescent="0.45">
      <c r="A356" s="19">
        <v>45177</v>
      </c>
      <c r="B356" s="1" t="s">
        <v>77</v>
      </c>
      <c r="C356" s="1">
        <v>-9.61</v>
      </c>
    </row>
    <row r="357" spans="1:3" x14ac:dyDescent="0.45">
      <c r="A357" s="19">
        <v>45177</v>
      </c>
      <c r="B357" s="1" t="s">
        <v>77</v>
      </c>
      <c r="C357" s="1">
        <v>-14</v>
      </c>
    </row>
    <row r="358" spans="1:3" x14ac:dyDescent="0.45">
      <c r="A358" s="19">
        <v>45180</v>
      </c>
      <c r="B358" s="1" t="s">
        <v>77</v>
      </c>
      <c r="C358" s="1">
        <v>-14.71</v>
      </c>
    </row>
    <row r="359" spans="1:3" x14ac:dyDescent="0.45">
      <c r="A359" s="19">
        <v>45180</v>
      </c>
      <c r="B359" s="1" t="s">
        <v>77</v>
      </c>
      <c r="C359" s="1">
        <v>-7.2</v>
      </c>
    </row>
    <row r="360" spans="1:3" x14ac:dyDescent="0.45">
      <c r="A360" s="19">
        <v>45180</v>
      </c>
      <c r="B360" s="1" t="s">
        <v>77</v>
      </c>
      <c r="C360" s="1">
        <v>-11.65</v>
      </c>
    </row>
    <row r="361" spans="1:3" x14ac:dyDescent="0.45">
      <c r="A361" s="19">
        <v>45181</v>
      </c>
      <c r="B361" s="1" t="s">
        <v>77</v>
      </c>
      <c r="C361" s="1">
        <v>-7</v>
      </c>
    </row>
    <row r="362" spans="1:3" x14ac:dyDescent="0.45">
      <c r="A362" s="19">
        <v>45182</v>
      </c>
      <c r="B362" s="1" t="s">
        <v>77</v>
      </c>
      <c r="C362" s="1">
        <v>-7.2</v>
      </c>
    </row>
    <row r="363" spans="1:3" x14ac:dyDescent="0.45">
      <c r="A363" s="19">
        <v>45184</v>
      </c>
      <c r="B363" s="1" t="s">
        <v>77</v>
      </c>
      <c r="C363" s="1">
        <v>-7.88</v>
      </c>
    </row>
    <row r="364" spans="1:3" x14ac:dyDescent="0.45">
      <c r="A364" s="19">
        <v>45184</v>
      </c>
      <c r="B364" s="1" t="s">
        <v>77</v>
      </c>
      <c r="C364" s="1">
        <v>-14</v>
      </c>
    </row>
    <row r="365" spans="1:3" x14ac:dyDescent="0.45">
      <c r="A365" s="19">
        <v>45187</v>
      </c>
      <c r="B365" s="1" t="s">
        <v>77</v>
      </c>
      <c r="C365" s="1">
        <v>-7.2</v>
      </c>
    </row>
    <row r="366" spans="1:3" x14ac:dyDescent="0.45">
      <c r="A366" s="19">
        <v>45187</v>
      </c>
      <c r="B366" s="1" t="s">
        <v>77</v>
      </c>
      <c r="C366" s="1">
        <v>-7.25</v>
      </c>
    </row>
    <row r="367" spans="1:3" x14ac:dyDescent="0.45">
      <c r="A367" s="19">
        <v>45187</v>
      </c>
      <c r="B367" s="1" t="s">
        <v>77</v>
      </c>
      <c r="C367" s="1">
        <v>-8.82</v>
      </c>
    </row>
    <row r="368" spans="1:3" x14ac:dyDescent="0.45">
      <c r="A368" s="19">
        <v>45187</v>
      </c>
      <c r="B368" s="1" t="s">
        <v>77</v>
      </c>
      <c r="C368" s="1">
        <v>-7.88</v>
      </c>
    </row>
    <row r="369" spans="1:3" x14ac:dyDescent="0.45">
      <c r="A369" s="19">
        <v>45187</v>
      </c>
      <c r="B369" s="1" t="s">
        <v>77</v>
      </c>
      <c r="C369" s="1">
        <v>-10.45</v>
      </c>
    </row>
    <row r="370" spans="1:3" x14ac:dyDescent="0.45">
      <c r="A370" s="19">
        <v>45187</v>
      </c>
      <c r="B370" s="1" t="s">
        <v>77</v>
      </c>
      <c r="C370" s="1">
        <v>-7.96</v>
      </c>
    </row>
    <row r="371" spans="1:3" x14ac:dyDescent="0.45">
      <c r="A371" s="19">
        <v>45187</v>
      </c>
      <c r="B371" s="1" t="s">
        <v>77</v>
      </c>
      <c r="C371" s="1">
        <v>-40.119999999999997</v>
      </c>
    </row>
    <row r="372" spans="1:3" x14ac:dyDescent="0.45">
      <c r="A372" s="19">
        <v>45188</v>
      </c>
      <c r="B372" s="1" t="s">
        <v>77</v>
      </c>
      <c r="C372" s="1">
        <v>-21.56</v>
      </c>
    </row>
    <row r="373" spans="1:3" x14ac:dyDescent="0.45">
      <c r="A373" s="19">
        <v>45189</v>
      </c>
      <c r="B373" s="1" t="s">
        <v>77</v>
      </c>
      <c r="C373" s="1">
        <v>-9.59</v>
      </c>
    </row>
    <row r="374" spans="1:3" x14ac:dyDescent="0.45">
      <c r="A374" s="19">
        <v>45189</v>
      </c>
      <c r="B374" s="1" t="s">
        <v>77</v>
      </c>
      <c r="C374" s="1">
        <v>-7.85</v>
      </c>
    </row>
    <row r="375" spans="1:3" x14ac:dyDescent="0.45">
      <c r="A375" s="19">
        <v>45189</v>
      </c>
      <c r="B375" s="1" t="s">
        <v>77</v>
      </c>
      <c r="C375" s="1">
        <v>-8.82</v>
      </c>
    </row>
    <row r="376" spans="1:3" x14ac:dyDescent="0.45">
      <c r="A376" s="19">
        <v>45191</v>
      </c>
      <c r="B376" s="1" t="s">
        <v>77</v>
      </c>
      <c r="C376" s="1">
        <v>-7.2</v>
      </c>
    </row>
    <row r="377" spans="1:3" x14ac:dyDescent="0.45">
      <c r="A377" s="19">
        <v>45191</v>
      </c>
      <c r="B377" s="1" t="s">
        <v>77</v>
      </c>
      <c r="C377" s="1">
        <v>-4.74</v>
      </c>
    </row>
    <row r="378" spans="1:3" x14ac:dyDescent="0.45">
      <c r="A378" s="19">
        <v>45191</v>
      </c>
      <c r="B378" s="1" t="s">
        <v>77</v>
      </c>
      <c r="C378" s="1">
        <v>-8.82</v>
      </c>
    </row>
    <row r="379" spans="1:3" x14ac:dyDescent="0.45">
      <c r="A379" s="19">
        <v>45194</v>
      </c>
      <c r="B379" s="1" t="s">
        <v>77</v>
      </c>
      <c r="C379" s="1">
        <v>-3.81</v>
      </c>
    </row>
    <row r="380" spans="1:3" x14ac:dyDescent="0.45">
      <c r="A380" s="19">
        <v>45194</v>
      </c>
      <c r="B380" s="1" t="s">
        <v>77</v>
      </c>
      <c r="C380" s="1">
        <v>-12.27</v>
      </c>
    </row>
    <row r="381" spans="1:3" x14ac:dyDescent="0.45">
      <c r="A381" s="19">
        <v>45194</v>
      </c>
      <c r="B381" s="1" t="s">
        <v>77</v>
      </c>
      <c r="C381" s="1">
        <v>-11.98</v>
      </c>
    </row>
    <row r="382" spans="1:3" x14ac:dyDescent="0.45">
      <c r="A382" s="19">
        <v>45194</v>
      </c>
      <c r="B382" s="1" t="s">
        <v>77</v>
      </c>
      <c r="C382" s="1">
        <v>-11.06</v>
      </c>
    </row>
    <row r="383" spans="1:3" x14ac:dyDescent="0.45">
      <c r="A383" s="19">
        <v>45194</v>
      </c>
      <c r="B383" s="1" t="s">
        <v>77</v>
      </c>
      <c r="C383" s="1">
        <v>-9.9</v>
      </c>
    </row>
    <row r="384" spans="1:3" x14ac:dyDescent="0.45">
      <c r="A384" s="19">
        <v>45195</v>
      </c>
      <c r="B384" s="1" t="s">
        <v>77</v>
      </c>
      <c r="C384" s="1">
        <v>-15.53</v>
      </c>
    </row>
    <row r="385" spans="1:3" x14ac:dyDescent="0.45">
      <c r="A385" s="19">
        <v>45195</v>
      </c>
      <c r="B385" s="1" t="s">
        <v>77</v>
      </c>
      <c r="C385" s="1">
        <v>-7.2</v>
      </c>
    </row>
    <row r="386" spans="1:3" x14ac:dyDescent="0.45">
      <c r="A386" s="19">
        <v>45195</v>
      </c>
      <c r="B386" s="1" t="s">
        <v>77</v>
      </c>
      <c r="C386" s="1">
        <v>-10.45</v>
      </c>
    </row>
    <row r="387" spans="1:3" x14ac:dyDescent="0.45">
      <c r="A387" s="19">
        <v>45195</v>
      </c>
      <c r="B387" s="1" t="s">
        <v>77</v>
      </c>
      <c r="C387" s="1">
        <v>-7.2</v>
      </c>
    </row>
    <row r="388" spans="1:3" x14ac:dyDescent="0.45">
      <c r="A388" s="19">
        <v>45197</v>
      </c>
      <c r="B388" s="1" t="s">
        <v>77</v>
      </c>
      <c r="C388" s="1">
        <v>-10.61</v>
      </c>
    </row>
    <row r="389" spans="1:3" x14ac:dyDescent="0.45">
      <c r="A389" s="19">
        <v>45197</v>
      </c>
      <c r="B389" s="1" t="s">
        <v>77</v>
      </c>
      <c r="C389" s="1">
        <v>-4.8099999999999996</v>
      </c>
    </row>
    <row r="390" spans="1:3" x14ac:dyDescent="0.45">
      <c r="A390" s="19">
        <v>45201</v>
      </c>
      <c r="B390" s="1" t="s">
        <v>77</v>
      </c>
      <c r="C390" s="1">
        <v>-7.2</v>
      </c>
    </row>
    <row r="391" spans="1:3" x14ac:dyDescent="0.45">
      <c r="A391" s="19">
        <v>45201</v>
      </c>
      <c r="B391" s="1" t="s">
        <v>77</v>
      </c>
      <c r="C391" s="1">
        <v>-11.53</v>
      </c>
    </row>
    <row r="392" spans="1:3" x14ac:dyDescent="0.45">
      <c r="A392" s="19">
        <v>45201</v>
      </c>
      <c r="B392" s="1" t="s">
        <v>77</v>
      </c>
      <c r="C392" s="1">
        <v>-10.9</v>
      </c>
    </row>
    <row r="393" spans="1:3" x14ac:dyDescent="0.45">
      <c r="A393" s="19">
        <v>45201</v>
      </c>
      <c r="B393" s="1" t="s">
        <v>77</v>
      </c>
      <c r="C393" s="1">
        <v>-15.33</v>
      </c>
    </row>
    <row r="394" spans="1:3" x14ac:dyDescent="0.45">
      <c r="A394" s="19">
        <v>45202</v>
      </c>
      <c r="B394" s="1" t="s">
        <v>77</v>
      </c>
      <c r="C394" s="1">
        <v>-6</v>
      </c>
    </row>
    <row r="395" spans="1:3" x14ac:dyDescent="0.45">
      <c r="A395" s="19">
        <v>45202</v>
      </c>
      <c r="B395" s="1" t="s">
        <v>77</v>
      </c>
      <c r="C395" s="1">
        <v>-4.88</v>
      </c>
    </row>
    <row r="396" spans="1:3" x14ac:dyDescent="0.45">
      <c r="A396" s="19">
        <v>45202</v>
      </c>
      <c r="B396" s="1" t="s">
        <v>77</v>
      </c>
      <c r="C396" s="1">
        <v>-11.72</v>
      </c>
    </row>
    <row r="397" spans="1:3" x14ac:dyDescent="0.45">
      <c r="A397" s="19">
        <v>45203</v>
      </c>
      <c r="B397" s="1" t="s">
        <v>77</v>
      </c>
      <c r="C397" s="1">
        <v>-13.06</v>
      </c>
    </row>
    <row r="398" spans="1:3" x14ac:dyDescent="0.45">
      <c r="A398" s="19">
        <v>45204</v>
      </c>
      <c r="B398" s="1" t="s">
        <v>77</v>
      </c>
      <c r="C398" s="1">
        <v>-20.73</v>
      </c>
    </row>
    <row r="399" spans="1:3" x14ac:dyDescent="0.45">
      <c r="A399" s="19">
        <v>45204</v>
      </c>
      <c r="B399" s="1" t="s">
        <v>77</v>
      </c>
      <c r="C399" s="1">
        <v>-4.2</v>
      </c>
    </row>
    <row r="400" spans="1:3" x14ac:dyDescent="0.45">
      <c r="A400" s="19">
        <v>45204</v>
      </c>
      <c r="B400" s="1" t="s">
        <v>77</v>
      </c>
      <c r="C400" s="1">
        <v>-7.47</v>
      </c>
    </row>
    <row r="401" spans="1:3" x14ac:dyDescent="0.45">
      <c r="A401" s="19">
        <v>45208</v>
      </c>
      <c r="B401" s="1" t="s">
        <v>77</v>
      </c>
      <c r="C401" s="1">
        <v>-7.25</v>
      </c>
    </row>
    <row r="402" spans="1:3" x14ac:dyDescent="0.45">
      <c r="A402" s="19">
        <v>45208</v>
      </c>
      <c r="B402" s="1" t="s">
        <v>77</v>
      </c>
      <c r="C402" s="1">
        <v>-14.37</v>
      </c>
    </row>
    <row r="403" spans="1:3" x14ac:dyDescent="0.45">
      <c r="A403" s="19">
        <v>45208</v>
      </c>
      <c r="B403" s="1" t="s">
        <v>77</v>
      </c>
      <c r="C403" s="1">
        <v>-7.2</v>
      </c>
    </row>
    <row r="404" spans="1:3" x14ac:dyDescent="0.45">
      <c r="A404" s="19">
        <v>45208</v>
      </c>
      <c r="B404" s="1" t="s">
        <v>77</v>
      </c>
      <c r="C404" s="1">
        <v>-4.74</v>
      </c>
    </row>
    <row r="405" spans="1:3" x14ac:dyDescent="0.45">
      <c r="A405" s="19">
        <v>45208</v>
      </c>
      <c r="B405" s="1" t="s">
        <v>77</v>
      </c>
      <c r="C405" s="1">
        <v>-6.07</v>
      </c>
    </row>
    <row r="406" spans="1:3" x14ac:dyDescent="0.45">
      <c r="A406" s="19">
        <v>45208</v>
      </c>
      <c r="B406" s="1" t="s">
        <v>77</v>
      </c>
      <c r="C406" s="1">
        <v>-11.06</v>
      </c>
    </row>
    <row r="407" spans="1:3" x14ac:dyDescent="0.45">
      <c r="A407" s="19">
        <v>45209</v>
      </c>
      <c r="B407" s="1" t="s">
        <v>77</v>
      </c>
      <c r="C407" s="1">
        <v>-7.2</v>
      </c>
    </row>
    <row r="408" spans="1:3" x14ac:dyDescent="0.45">
      <c r="A408" s="19">
        <v>45209</v>
      </c>
      <c r="B408" s="1" t="s">
        <v>77</v>
      </c>
      <c r="C408" s="1">
        <v>-7.47</v>
      </c>
    </row>
    <row r="409" spans="1:3" x14ac:dyDescent="0.45">
      <c r="A409" s="19">
        <v>45209</v>
      </c>
      <c r="B409" s="1" t="s">
        <v>77</v>
      </c>
      <c r="C409" s="1">
        <v>-9.59</v>
      </c>
    </row>
    <row r="410" spans="1:3" x14ac:dyDescent="0.45">
      <c r="A410" s="19">
        <v>45209</v>
      </c>
      <c r="B410" s="1" t="s">
        <v>77</v>
      </c>
      <c r="C410" s="1">
        <v>-7.2</v>
      </c>
    </row>
    <row r="411" spans="1:3" x14ac:dyDescent="0.45">
      <c r="A411" s="19">
        <v>45209</v>
      </c>
      <c r="B411" s="1" t="s">
        <v>77</v>
      </c>
      <c r="C411" s="1">
        <v>-15.43</v>
      </c>
    </row>
    <row r="412" spans="1:3" x14ac:dyDescent="0.45">
      <c r="A412" s="19">
        <v>45212</v>
      </c>
      <c r="B412" s="1" t="s">
        <v>77</v>
      </c>
      <c r="C412" s="1">
        <v>-29.95</v>
      </c>
    </row>
    <row r="413" spans="1:3" x14ac:dyDescent="0.45">
      <c r="A413" s="19">
        <v>45215</v>
      </c>
      <c r="B413" s="1" t="s">
        <v>77</v>
      </c>
      <c r="C413" s="1">
        <v>-12.27</v>
      </c>
    </row>
    <row r="414" spans="1:3" x14ac:dyDescent="0.45">
      <c r="A414" s="19">
        <v>45215</v>
      </c>
      <c r="B414" s="1" t="s">
        <v>77</v>
      </c>
      <c r="C414" s="1">
        <v>-4.88</v>
      </c>
    </row>
    <row r="415" spans="1:3" x14ac:dyDescent="0.45">
      <c r="A415" s="19">
        <v>45215</v>
      </c>
      <c r="B415" s="1" t="s">
        <v>77</v>
      </c>
      <c r="C415" s="1">
        <v>-6.07</v>
      </c>
    </row>
    <row r="416" spans="1:3" x14ac:dyDescent="0.45">
      <c r="A416" s="19">
        <v>45215</v>
      </c>
      <c r="B416" s="1" t="s">
        <v>77</v>
      </c>
      <c r="C416" s="1">
        <v>-10.61</v>
      </c>
    </row>
    <row r="417" spans="1:3" x14ac:dyDescent="0.45">
      <c r="A417" s="19">
        <v>45215</v>
      </c>
      <c r="B417" s="1" t="s">
        <v>77</v>
      </c>
      <c r="C417" s="1">
        <v>-7.2</v>
      </c>
    </row>
    <row r="418" spans="1:3" x14ac:dyDescent="0.45">
      <c r="A418" s="19">
        <v>45215</v>
      </c>
      <c r="B418" s="1" t="s">
        <v>77</v>
      </c>
      <c r="C418" s="1">
        <v>-5.93</v>
      </c>
    </row>
    <row r="419" spans="1:3" x14ac:dyDescent="0.45">
      <c r="A419" s="19">
        <v>45217</v>
      </c>
      <c r="B419" s="1" t="s">
        <v>77</v>
      </c>
      <c r="C419" s="1">
        <v>-9.35</v>
      </c>
    </row>
    <row r="420" spans="1:3" x14ac:dyDescent="0.45">
      <c r="A420" s="19">
        <v>45218</v>
      </c>
      <c r="B420" s="1" t="s">
        <v>77</v>
      </c>
      <c r="C420" s="1">
        <v>-11.06</v>
      </c>
    </row>
    <row r="421" spans="1:3" x14ac:dyDescent="0.45">
      <c r="A421" s="19">
        <v>45219</v>
      </c>
      <c r="B421" s="1" t="s">
        <v>77</v>
      </c>
      <c r="C421" s="1">
        <v>-7.2</v>
      </c>
    </row>
    <row r="422" spans="1:3" x14ac:dyDescent="0.45">
      <c r="A422" s="19">
        <v>45219</v>
      </c>
      <c r="B422" s="1" t="s">
        <v>77</v>
      </c>
      <c r="C422" s="1">
        <v>-10.61</v>
      </c>
    </row>
    <row r="423" spans="1:3" x14ac:dyDescent="0.45">
      <c r="A423" s="19">
        <v>45222</v>
      </c>
      <c r="B423" s="1" t="s">
        <v>77</v>
      </c>
      <c r="C423" s="1">
        <v>-14.43</v>
      </c>
    </row>
    <row r="424" spans="1:3" x14ac:dyDescent="0.45">
      <c r="A424" s="19">
        <v>45222</v>
      </c>
      <c r="B424" s="1" t="s">
        <v>77</v>
      </c>
      <c r="C424" s="1">
        <v>-7.25</v>
      </c>
    </row>
    <row r="425" spans="1:3" x14ac:dyDescent="0.45">
      <c r="A425" s="19">
        <v>45222</v>
      </c>
      <c r="B425" s="1" t="s">
        <v>77</v>
      </c>
      <c r="C425" s="1">
        <v>-9.35</v>
      </c>
    </row>
    <row r="426" spans="1:3" x14ac:dyDescent="0.45">
      <c r="A426" s="19">
        <v>45222</v>
      </c>
      <c r="B426" s="1" t="s">
        <v>77</v>
      </c>
      <c r="C426" s="1">
        <v>-4.8099999999999996</v>
      </c>
    </row>
    <row r="427" spans="1:3" x14ac:dyDescent="0.45">
      <c r="A427" s="19">
        <v>45222</v>
      </c>
      <c r="B427" s="1" t="s">
        <v>77</v>
      </c>
      <c r="C427" s="1">
        <v>-7.2</v>
      </c>
    </row>
    <row r="428" spans="1:3" x14ac:dyDescent="0.45">
      <c r="A428" s="19">
        <v>45224</v>
      </c>
      <c r="B428" s="1" t="s">
        <v>77</v>
      </c>
      <c r="C428" s="1">
        <v>-3.75</v>
      </c>
    </row>
    <row r="429" spans="1:3" x14ac:dyDescent="0.45">
      <c r="A429" s="19">
        <v>45224</v>
      </c>
      <c r="B429" s="1" t="s">
        <v>77</v>
      </c>
      <c r="C429" s="1">
        <v>-7</v>
      </c>
    </row>
    <row r="430" spans="1:3" x14ac:dyDescent="0.45">
      <c r="A430" s="19">
        <v>45224</v>
      </c>
      <c r="B430" s="1" t="s">
        <v>77</v>
      </c>
      <c r="C430" s="1">
        <v>-17.05</v>
      </c>
    </row>
    <row r="431" spans="1:3" x14ac:dyDescent="0.45">
      <c r="A431" s="19">
        <v>45225</v>
      </c>
      <c r="B431" s="1" t="s">
        <v>77</v>
      </c>
      <c r="C431" s="1">
        <v>-6.6</v>
      </c>
    </row>
    <row r="432" spans="1:3" x14ac:dyDescent="0.45">
      <c r="A432" s="19">
        <v>45225</v>
      </c>
      <c r="B432" s="1" t="s">
        <v>77</v>
      </c>
      <c r="C432" s="1">
        <v>-8.82</v>
      </c>
    </row>
    <row r="433" spans="1:3" x14ac:dyDescent="0.45">
      <c r="A433" s="19">
        <v>45226</v>
      </c>
      <c r="B433" s="1" t="s">
        <v>77</v>
      </c>
      <c r="C433" s="1">
        <v>-9.59</v>
      </c>
    </row>
    <row r="434" spans="1:3" x14ac:dyDescent="0.45">
      <c r="A434" s="19">
        <v>45226</v>
      </c>
      <c r="B434" s="1" t="s">
        <v>77</v>
      </c>
      <c r="C434" s="1">
        <v>-3.81</v>
      </c>
    </row>
    <row r="435" spans="1:3" x14ac:dyDescent="0.45">
      <c r="A435" s="19">
        <v>45227</v>
      </c>
      <c r="B435" s="1" t="s">
        <v>77</v>
      </c>
      <c r="C435" s="1">
        <v>-13.47</v>
      </c>
    </row>
    <row r="436" spans="1:3" x14ac:dyDescent="0.45">
      <c r="A436" s="19">
        <v>45227</v>
      </c>
      <c r="B436" s="1" t="s">
        <v>77</v>
      </c>
      <c r="C436" s="1">
        <v>-14.88</v>
      </c>
    </row>
    <row r="437" spans="1:3" x14ac:dyDescent="0.45">
      <c r="A437" s="19">
        <v>45227</v>
      </c>
      <c r="B437" s="1" t="s">
        <v>77</v>
      </c>
      <c r="C437" s="1">
        <v>-8.75</v>
      </c>
    </row>
    <row r="438" spans="1:3" x14ac:dyDescent="0.45">
      <c r="A438" s="19">
        <v>45229</v>
      </c>
      <c r="B438" s="1" t="s">
        <v>77</v>
      </c>
      <c r="C438" s="1">
        <v>-12.87</v>
      </c>
    </row>
    <row r="439" spans="1:3" x14ac:dyDescent="0.45">
      <c r="A439" s="19">
        <v>45229</v>
      </c>
      <c r="B439" s="1" t="s">
        <v>77</v>
      </c>
      <c r="C439" s="1">
        <v>-13.74</v>
      </c>
    </row>
    <row r="440" spans="1:3" x14ac:dyDescent="0.45">
      <c r="A440" s="19">
        <v>45231</v>
      </c>
      <c r="B440" s="1" t="s">
        <v>77</v>
      </c>
      <c r="C440" s="1">
        <v>-9.59</v>
      </c>
    </row>
    <row r="441" spans="1:3" x14ac:dyDescent="0.45">
      <c r="A441" s="19">
        <v>45233</v>
      </c>
      <c r="B441" s="1" t="s">
        <v>77</v>
      </c>
      <c r="C441" s="1">
        <v>-18.43</v>
      </c>
    </row>
    <row r="442" spans="1:3" x14ac:dyDescent="0.45">
      <c r="A442" s="19">
        <v>45233</v>
      </c>
      <c r="B442" s="1" t="s">
        <v>77</v>
      </c>
      <c r="C442" s="1">
        <v>-7.85</v>
      </c>
    </row>
    <row r="443" spans="1:3" x14ac:dyDescent="0.45">
      <c r="A443" s="19">
        <v>45236</v>
      </c>
      <c r="B443" s="1" t="s">
        <v>77</v>
      </c>
      <c r="C443" s="1">
        <v>-19.760000000000002</v>
      </c>
    </row>
    <row r="444" spans="1:3" x14ac:dyDescent="0.45">
      <c r="A444" s="19">
        <v>45236</v>
      </c>
      <c r="B444" s="1" t="s">
        <v>77</v>
      </c>
      <c r="C444" s="1">
        <v>-15.95</v>
      </c>
    </row>
    <row r="445" spans="1:3" x14ac:dyDescent="0.45">
      <c r="A445" s="19">
        <v>45236</v>
      </c>
      <c r="B445" s="1" t="s">
        <v>77</v>
      </c>
      <c r="C445" s="1">
        <v>-7.2</v>
      </c>
    </row>
    <row r="446" spans="1:3" x14ac:dyDescent="0.45">
      <c r="A446" s="19">
        <v>45236</v>
      </c>
      <c r="B446" s="1" t="s">
        <v>77</v>
      </c>
      <c r="C446" s="1">
        <v>-10.61</v>
      </c>
    </row>
    <row r="447" spans="1:3" x14ac:dyDescent="0.45">
      <c r="A447" s="19">
        <v>45236</v>
      </c>
      <c r="B447" s="1" t="s">
        <v>77</v>
      </c>
      <c r="C447" s="1">
        <v>-7.25</v>
      </c>
    </row>
    <row r="448" spans="1:3" x14ac:dyDescent="0.45">
      <c r="A448" s="19">
        <v>45236</v>
      </c>
      <c r="B448" s="1" t="s">
        <v>77</v>
      </c>
      <c r="C448" s="1">
        <v>-4.88</v>
      </c>
    </row>
    <row r="449" spans="1:3" x14ac:dyDescent="0.45">
      <c r="A449" s="19">
        <v>45236</v>
      </c>
      <c r="B449" s="1" t="s">
        <v>77</v>
      </c>
      <c r="C449" s="1">
        <v>-9.35</v>
      </c>
    </row>
    <row r="450" spans="1:3" x14ac:dyDescent="0.45">
      <c r="A450" s="19">
        <v>45236</v>
      </c>
      <c r="B450" s="1" t="s">
        <v>77</v>
      </c>
      <c r="C450" s="1">
        <v>-7.25</v>
      </c>
    </row>
    <row r="451" spans="1:3" x14ac:dyDescent="0.45">
      <c r="A451" s="19">
        <v>45238</v>
      </c>
      <c r="B451" s="1" t="s">
        <v>77</v>
      </c>
      <c r="C451" s="1">
        <v>-14</v>
      </c>
    </row>
    <row r="452" spans="1:3" x14ac:dyDescent="0.45">
      <c r="A452" s="19">
        <v>45238</v>
      </c>
      <c r="B452" s="1" t="s">
        <v>77</v>
      </c>
      <c r="C452" s="1">
        <v>-3.81</v>
      </c>
    </row>
    <row r="453" spans="1:3" x14ac:dyDescent="0.45">
      <c r="A453" s="19">
        <v>45238</v>
      </c>
      <c r="B453" s="1" t="s">
        <v>77</v>
      </c>
      <c r="C453" s="1">
        <v>-7.25</v>
      </c>
    </row>
    <row r="454" spans="1:3" x14ac:dyDescent="0.45">
      <c r="A454" s="19">
        <v>45241</v>
      </c>
      <c r="B454" s="1" t="s">
        <v>77</v>
      </c>
      <c r="C454" s="1">
        <v>-7.2</v>
      </c>
    </row>
    <row r="455" spans="1:3" x14ac:dyDescent="0.45">
      <c r="A455" s="19">
        <v>45243</v>
      </c>
      <c r="B455" s="1" t="s">
        <v>77</v>
      </c>
      <c r="C455" s="1">
        <v>-15.53</v>
      </c>
    </row>
    <row r="456" spans="1:3" x14ac:dyDescent="0.45">
      <c r="A456" s="19">
        <v>45243</v>
      </c>
      <c r="B456" s="1" t="s">
        <v>77</v>
      </c>
      <c r="C456" s="1">
        <v>-9.9</v>
      </c>
    </row>
    <row r="457" spans="1:3" x14ac:dyDescent="0.45">
      <c r="A457" s="19">
        <v>45243</v>
      </c>
      <c r="B457" s="1" t="s">
        <v>77</v>
      </c>
      <c r="C457" s="1">
        <v>-7.2</v>
      </c>
    </row>
    <row r="458" spans="1:3" x14ac:dyDescent="0.45">
      <c r="A458" s="19">
        <v>45243</v>
      </c>
      <c r="B458" s="1" t="s">
        <v>77</v>
      </c>
      <c r="C458" s="1">
        <v>-14</v>
      </c>
    </row>
    <row r="459" spans="1:3" x14ac:dyDescent="0.45">
      <c r="A459" s="19">
        <v>45244</v>
      </c>
      <c r="B459" s="1" t="s">
        <v>77</v>
      </c>
      <c r="C459" s="1">
        <v>-13.82</v>
      </c>
    </row>
    <row r="460" spans="1:3" x14ac:dyDescent="0.45">
      <c r="A460" s="19">
        <v>45245</v>
      </c>
      <c r="B460" s="1" t="s">
        <v>77</v>
      </c>
      <c r="C460" s="1">
        <v>-7.04</v>
      </c>
    </row>
    <row r="461" spans="1:3" x14ac:dyDescent="0.45">
      <c r="A461" s="19">
        <v>45247</v>
      </c>
      <c r="B461" s="1" t="s">
        <v>77</v>
      </c>
      <c r="C461" s="1">
        <v>-7.2</v>
      </c>
    </row>
    <row r="462" spans="1:3" x14ac:dyDescent="0.45">
      <c r="A462" s="19">
        <v>45247</v>
      </c>
      <c r="B462" s="1" t="s">
        <v>77</v>
      </c>
      <c r="C462" s="1">
        <v>-10.45</v>
      </c>
    </row>
    <row r="463" spans="1:3" x14ac:dyDescent="0.45">
      <c r="A463" s="19">
        <v>45250</v>
      </c>
      <c r="B463" s="1" t="s">
        <v>77</v>
      </c>
      <c r="C463" s="1">
        <v>-7.2</v>
      </c>
    </row>
    <row r="464" spans="1:3" x14ac:dyDescent="0.45">
      <c r="A464" s="19">
        <v>45250</v>
      </c>
      <c r="B464" s="1" t="s">
        <v>77</v>
      </c>
      <c r="C464" s="1">
        <v>-4.88</v>
      </c>
    </row>
    <row r="465" spans="1:3" x14ac:dyDescent="0.45">
      <c r="A465" s="19">
        <v>45251</v>
      </c>
      <c r="B465" s="1" t="s">
        <v>77</v>
      </c>
      <c r="C465" s="1">
        <v>-9.61</v>
      </c>
    </row>
    <row r="466" spans="1:3" x14ac:dyDescent="0.45">
      <c r="A466" s="19">
        <v>45251</v>
      </c>
      <c r="B466" s="1" t="s">
        <v>77</v>
      </c>
      <c r="C466" s="1">
        <v>-9.35</v>
      </c>
    </row>
    <row r="467" spans="1:3" x14ac:dyDescent="0.45">
      <c r="A467" s="19">
        <v>45251</v>
      </c>
      <c r="B467" s="1" t="s">
        <v>77</v>
      </c>
      <c r="C467" s="1">
        <v>-7.2</v>
      </c>
    </row>
    <row r="468" spans="1:3" x14ac:dyDescent="0.45">
      <c r="A468" s="19">
        <v>45252</v>
      </c>
      <c r="B468" s="1" t="s">
        <v>77</v>
      </c>
      <c r="C468" s="1">
        <v>-7.2</v>
      </c>
    </row>
    <row r="469" spans="1:3" x14ac:dyDescent="0.45">
      <c r="A469" s="19">
        <v>45255</v>
      </c>
      <c r="B469" s="1" t="s">
        <v>77</v>
      </c>
      <c r="C469" s="1">
        <v>-12.96</v>
      </c>
    </row>
    <row r="470" spans="1:3" x14ac:dyDescent="0.45">
      <c r="A470" s="19">
        <v>45255</v>
      </c>
      <c r="B470" s="1" t="s">
        <v>77</v>
      </c>
      <c r="C470" s="1">
        <v>-14</v>
      </c>
    </row>
    <row r="471" spans="1:3" x14ac:dyDescent="0.45">
      <c r="A471" s="19">
        <v>45257</v>
      </c>
      <c r="B471" s="1" t="s">
        <v>77</v>
      </c>
      <c r="C471" s="1">
        <v>-7.25</v>
      </c>
    </row>
    <row r="472" spans="1:3" x14ac:dyDescent="0.45">
      <c r="A472" s="19">
        <v>45257</v>
      </c>
      <c r="B472" s="1" t="s">
        <v>77</v>
      </c>
      <c r="C472" s="1">
        <v>-7.2</v>
      </c>
    </row>
    <row r="473" spans="1:3" x14ac:dyDescent="0.45">
      <c r="A473" s="19">
        <v>45258</v>
      </c>
      <c r="B473" s="1" t="s">
        <v>77</v>
      </c>
      <c r="C473" s="1">
        <v>-14.43</v>
      </c>
    </row>
    <row r="474" spans="1:3" x14ac:dyDescent="0.45">
      <c r="A474" s="19">
        <v>45261</v>
      </c>
      <c r="B474" s="1" t="s">
        <v>77</v>
      </c>
      <c r="C474" s="1">
        <v>-15.69</v>
      </c>
    </row>
    <row r="475" spans="1:3" x14ac:dyDescent="0.45">
      <c r="A475" s="19">
        <v>45261</v>
      </c>
      <c r="B475" s="1" t="s">
        <v>77</v>
      </c>
      <c r="C475" s="1">
        <v>-17.36</v>
      </c>
    </row>
    <row r="476" spans="1:3" x14ac:dyDescent="0.45">
      <c r="A476" s="19">
        <v>45264</v>
      </c>
      <c r="B476" s="1" t="s">
        <v>77</v>
      </c>
      <c r="C476" s="1">
        <v>-18.54</v>
      </c>
    </row>
    <row r="477" spans="1:3" x14ac:dyDescent="0.45">
      <c r="A477" s="19">
        <v>45264</v>
      </c>
      <c r="B477" s="1" t="s">
        <v>77</v>
      </c>
      <c r="C477" s="1">
        <v>-12.96</v>
      </c>
    </row>
    <row r="478" spans="1:3" x14ac:dyDescent="0.45">
      <c r="A478" s="19">
        <v>45265</v>
      </c>
      <c r="B478" s="1" t="s">
        <v>77</v>
      </c>
      <c r="C478" s="1">
        <v>-11.06</v>
      </c>
    </row>
    <row r="479" spans="1:3" x14ac:dyDescent="0.45">
      <c r="A479" s="19">
        <v>45266</v>
      </c>
      <c r="B479" s="1" t="s">
        <v>77</v>
      </c>
      <c r="C479" s="1">
        <v>-4.24</v>
      </c>
    </row>
    <row r="480" spans="1:3" x14ac:dyDescent="0.45">
      <c r="A480" s="19">
        <v>45268</v>
      </c>
      <c r="B480" s="1" t="s">
        <v>77</v>
      </c>
      <c r="C480" s="1">
        <v>-9.35</v>
      </c>
    </row>
    <row r="481" spans="1:3" x14ac:dyDescent="0.45">
      <c r="A481" s="19">
        <v>45271</v>
      </c>
      <c r="B481" s="1" t="s">
        <v>77</v>
      </c>
      <c r="C481" s="1">
        <v>-17.670000000000002</v>
      </c>
    </row>
    <row r="482" spans="1:3" x14ac:dyDescent="0.45">
      <c r="A482" s="19">
        <v>45271</v>
      </c>
      <c r="B482" s="1" t="s">
        <v>77</v>
      </c>
      <c r="C482" s="1">
        <v>-13.47</v>
      </c>
    </row>
    <row r="483" spans="1:3" x14ac:dyDescent="0.45">
      <c r="A483" s="19">
        <v>45271</v>
      </c>
      <c r="B483" s="1" t="s">
        <v>77</v>
      </c>
      <c r="C483" s="1">
        <v>-7.2</v>
      </c>
    </row>
    <row r="484" spans="1:3" x14ac:dyDescent="0.45">
      <c r="A484" s="19">
        <v>45271</v>
      </c>
      <c r="B484" s="1" t="s">
        <v>77</v>
      </c>
      <c r="C484" s="1">
        <v>-7.2</v>
      </c>
    </row>
    <row r="485" spans="1:3" x14ac:dyDescent="0.45">
      <c r="A485" s="19">
        <v>45272</v>
      </c>
      <c r="B485" s="1" t="s">
        <v>77</v>
      </c>
      <c r="C485" s="1">
        <v>-16.989999999999998</v>
      </c>
    </row>
    <row r="486" spans="1:3" x14ac:dyDescent="0.45">
      <c r="A486" s="19">
        <v>45272</v>
      </c>
      <c r="B486" s="1" t="s">
        <v>77</v>
      </c>
      <c r="C486" s="1">
        <v>-3.75</v>
      </c>
    </row>
    <row r="487" spans="1:3" x14ac:dyDescent="0.45">
      <c r="A487" s="19">
        <v>45274</v>
      </c>
      <c r="B487" s="1" t="s">
        <v>77</v>
      </c>
      <c r="C487" s="1">
        <v>-14.88</v>
      </c>
    </row>
    <row r="488" spans="1:3" x14ac:dyDescent="0.45">
      <c r="A488" s="19">
        <v>45274</v>
      </c>
      <c r="B488" s="1" t="s">
        <v>77</v>
      </c>
      <c r="C488" s="1">
        <v>-10.45</v>
      </c>
    </row>
    <row r="489" spans="1:3" x14ac:dyDescent="0.45">
      <c r="A489" s="19">
        <v>45275</v>
      </c>
      <c r="B489" s="1" t="s">
        <v>77</v>
      </c>
      <c r="C489" s="1">
        <v>-7.85</v>
      </c>
    </row>
    <row r="490" spans="1:3" x14ac:dyDescent="0.45">
      <c r="A490" s="19">
        <v>45275</v>
      </c>
      <c r="B490" s="1" t="s">
        <v>77</v>
      </c>
      <c r="C490" s="1">
        <v>-12.02</v>
      </c>
    </row>
    <row r="491" spans="1:3" x14ac:dyDescent="0.45">
      <c r="A491" s="19">
        <v>45275</v>
      </c>
      <c r="B491" s="1" t="s">
        <v>77</v>
      </c>
      <c r="C491" s="1">
        <v>-4.8099999999999996</v>
      </c>
    </row>
    <row r="492" spans="1:3" x14ac:dyDescent="0.45">
      <c r="A492" s="19">
        <v>45275</v>
      </c>
      <c r="B492" s="1" t="s">
        <v>77</v>
      </c>
      <c r="C492" s="1">
        <v>-7.25</v>
      </c>
    </row>
    <row r="493" spans="1:3" x14ac:dyDescent="0.45">
      <c r="A493" s="19">
        <v>45275</v>
      </c>
      <c r="B493" s="1" t="s">
        <v>77</v>
      </c>
      <c r="C493" s="1">
        <v>-10.09</v>
      </c>
    </row>
    <row r="494" spans="1:3" x14ac:dyDescent="0.45">
      <c r="A494" s="19">
        <v>45275</v>
      </c>
      <c r="B494" s="1" t="s">
        <v>77</v>
      </c>
      <c r="C494" s="1">
        <v>-4.8099999999999996</v>
      </c>
    </row>
    <row r="495" spans="1:3" x14ac:dyDescent="0.45">
      <c r="A495" s="19">
        <v>45276</v>
      </c>
      <c r="B495" s="1" t="s">
        <v>77</v>
      </c>
      <c r="C495" s="1">
        <v>-9.9</v>
      </c>
    </row>
    <row r="496" spans="1:3" x14ac:dyDescent="0.45">
      <c r="A496" s="19">
        <v>45278</v>
      </c>
      <c r="B496" s="1" t="s">
        <v>77</v>
      </c>
      <c r="C496" s="1">
        <v>-10.3</v>
      </c>
    </row>
    <row r="497" spans="1:3" x14ac:dyDescent="0.45">
      <c r="A497" s="19">
        <v>45279</v>
      </c>
      <c r="B497" s="1" t="s">
        <v>77</v>
      </c>
      <c r="C497" s="1">
        <v>-9.59</v>
      </c>
    </row>
    <row r="498" spans="1:3" x14ac:dyDescent="0.45">
      <c r="A498" s="19">
        <v>45281</v>
      </c>
      <c r="B498" s="1" t="s">
        <v>77</v>
      </c>
      <c r="C498" s="1">
        <v>-7.25</v>
      </c>
    </row>
    <row r="499" spans="1:3" x14ac:dyDescent="0.45">
      <c r="A499" s="19">
        <v>45281</v>
      </c>
      <c r="B499" s="1" t="s">
        <v>77</v>
      </c>
      <c r="C499" s="1">
        <v>-11.16</v>
      </c>
    </row>
    <row r="500" spans="1:3" x14ac:dyDescent="0.45">
      <c r="A500" s="19">
        <v>45281</v>
      </c>
      <c r="B500" s="1" t="s">
        <v>77</v>
      </c>
      <c r="C500" s="1">
        <v>-4.1500000000000004</v>
      </c>
    </row>
    <row r="501" spans="1:3" x14ac:dyDescent="0.45">
      <c r="A501" s="19">
        <v>45281</v>
      </c>
      <c r="B501" s="1" t="s">
        <v>77</v>
      </c>
      <c r="C501" s="1">
        <v>-4.88</v>
      </c>
    </row>
    <row r="502" spans="1:3" x14ac:dyDescent="0.45">
      <c r="A502" s="19">
        <v>45282</v>
      </c>
      <c r="B502" s="1" t="s">
        <v>77</v>
      </c>
      <c r="C502" s="1">
        <v>-9.94</v>
      </c>
    </row>
    <row r="503" spans="1:3" x14ac:dyDescent="0.45">
      <c r="A503" s="19">
        <v>45282</v>
      </c>
      <c r="B503" s="1" t="s">
        <v>77</v>
      </c>
      <c r="C503" s="1">
        <v>-7.2</v>
      </c>
    </row>
    <row r="504" spans="1:3" x14ac:dyDescent="0.45">
      <c r="A504" s="19">
        <v>45282</v>
      </c>
      <c r="B504" s="1" t="s">
        <v>77</v>
      </c>
      <c r="C504" s="1">
        <v>-9.9</v>
      </c>
    </row>
    <row r="505" spans="1:3" x14ac:dyDescent="0.45">
      <c r="A505" s="19">
        <v>45282</v>
      </c>
      <c r="B505" s="1" t="s">
        <v>77</v>
      </c>
      <c r="C505" s="1">
        <v>-19.7</v>
      </c>
    </row>
    <row r="506" spans="1:3" x14ac:dyDescent="0.45">
      <c r="A506" s="19">
        <v>45283</v>
      </c>
      <c r="B506" s="1" t="s">
        <v>77</v>
      </c>
      <c r="C506" s="1">
        <v>-9.35</v>
      </c>
    </row>
    <row r="507" spans="1:3" x14ac:dyDescent="0.45">
      <c r="A507" s="19">
        <v>45283</v>
      </c>
      <c r="B507" s="1" t="s">
        <v>77</v>
      </c>
      <c r="C507" s="1">
        <v>-7.15</v>
      </c>
    </row>
    <row r="508" spans="1:3" x14ac:dyDescent="0.45">
      <c r="A508" s="19">
        <v>45286</v>
      </c>
      <c r="B508" s="1" t="s">
        <v>77</v>
      </c>
      <c r="C508" s="1">
        <v>-12.02</v>
      </c>
    </row>
    <row r="509" spans="1:3" x14ac:dyDescent="0.45">
      <c r="A509" s="19">
        <v>45286</v>
      </c>
      <c r="B509" s="1" t="s">
        <v>77</v>
      </c>
      <c r="C509" s="1">
        <v>-14.71</v>
      </c>
    </row>
    <row r="510" spans="1:3" x14ac:dyDescent="0.45">
      <c r="A510" s="19">
        <v>45286</v>
      </c>
      <c r="B510" s="1" t="s">
        <v>77</v>
      </c>
      <c r="C510" s="1">
        <v>-7.85</v>
      </c>
    </row>
    <row r="511" spans="1:3" x14ac:dyDescent="0.45">
      <c r="A511" s="19">
        <v>45286</v>
      </c>
      <c r="B511" s="1" t="s">
        <v>77</v>
      </c>
      <c r="C511" s="1">
        <v>-7.47</v>
      </c>
    </row>
    <row r="512" spans="1:3" x14ac:dyDescent="0.45">
      <c r="A512" s="19">
        <v>45287</v>
      </c>
      <c r="B512" s="1" t="s">
        <v>77</v>
      </c>
      <c r="C512" s="1">
        <v>-7.2</v>
      </c>
    </row>
    <row r="513" spans="1:3" x14ac:dyDescent="0.45">
      <c r="A513" s="19">
        <v>45287</v>
      </c>
      <c r="B513" s="1" t="s">
        <v>77</v>
      </c>
      <c r="C513" s="1">
        <v>-14</v>
      </c>
    </row>
    <row r="514" spans="1:3" x14ac:dyDescent="0.45">
      <c r="A514" s="19">
        <v>45287</v>
      </c>
      <c r="B514" s="1" t="s">
        <v>77</v>
      </c>
      <c r="C514" s="1">
        <v>-8.82</v>
      </c>
    </row>
    <row r="515" spans="1:3" x14ac:dyDescent="0.45">
      <c r="A515" s="19">
        <v>45288</v>
      </c>
      <c r="B515" s="1" t="s">
        <v>77</v>
      </c>
      <c r="C515" s="1">
        <v>-11.72</v>
      </c>
    </row>
    <row r="516" spans="1:3" x14ac:dyDescent="0.45">
      <c r="A516" s="19">
        <v>45289</v>
      </c>
      <c r="B516" s="1" t="s">
        <v>77</v>
      </c>
      <c r="C516" s="1">
        <v>-10.3</v>
      </c>
    </row>
    <row r="517" spans="1:3" x14ac:dyDescent="0.45">
      <c r="A517" s="19">
        <v>45289</v>
      </c>
      <c r="B517" s="1" t="s">
        <v>77</v>
      </c>
      <c r="C517" s="1">
        <v>-7.88</v>
      </c>
    </row>
    <row r="518" spans="1:3" x14ac:dyDescent="0.45">
      <c r="B518" s="15"/>
    </row>
    <row r="519" spans="1:3" x14ac:dyDescent="0.45">
      <c r="B519" s="16" t="s">
        <v>6</v>
      </c>
      <c r="C519" s="1">
        <f>SUM(C2:C517)</f>
        <v>-5136.5499999999975</v>
      </c>
    </row>
    <row r="520" spans="1:3" x14ac:dyDescent="0.45">
      <c r="B520" s="15"/>
    </row>
    <row r="521" spans="1:3" x14ac:dyDescent="0.45">
      <c r="B521" s="15"/>
    </row>
    <row r="522" spans="1:3" x14ac:dyDescent="0.45">
      <c r="B522" s="15"/>
    </row>
    <row r="523" spans="1:3" x14ac:dyDescent="0.45">
      <c r="B523" s="15"/>
    </row>
    <row r="524" spans="1:3" x14ac:dyDescent="0.45">
      <c r="B524" s="15"/>
    </row>
    <row r="525" spans="1:3" x14ac:dyDescent="0.45">
      <c r="B525" s="15"/>
    </row>
    <row r="526" spans="1:3" x14ac:dyDescent="0.45">
      <c r="B526" s="15"/>
    </row>
    <row r="527" spans="1:3" x14ac:dyDescent="0.45">
      <c r="B527" s="15"/>
    </row>
    <row r="528" spans="1:3" x14ac:dyDescent="0.45">
      <c r="B528" s="15"/>
    </row>
    <row r="529" spans="2:2" x14ac:dyDescent="0.45">
      <c r="B529" s="15"/>
    </row>
    <row r="530" spans="2:2" x14ac:dyDescent="0.45">
      <c r="B530" s="15"/>
    </row>
    <row r="531" spans="2:2" x14ac:dyDescent="0.45">
      <c r="B531" s="15"/>
    </row>
    <row r="532" spans="2:2" x14ac:dyDescent="0.45">
      <c r="B532" s="15"/>
    </row>
    <row r="533" spans="2:2" x14ac:dyDescent="0.45">
      <c r="B533" s="15"/>
    </row>
    <row r="534" spans="2:2" x14ac:dyDescent="0.45">
      <c r="B534" s="15"/>
    </row>
    <row r="535" spans="2:2" x14ac:dyDescent="0.45">
      <c r="B535" s="15"/>
    </row>
    <row r="536" spans="2:2" x14ac:dyDescent="0.45">
      <c r="B536" s="15"/>
    </row>
    <row r="537" spans="2:2" x14ac:dyDescent="0.45">
      <c r="B537" s="15"/>
    </row>
    <row r="538" spans="2:2" x14ac:dyDescent="0.45">
      <c r="B538" s="15"/>
    </row>
    <row r="539" spans="2:2" x14ac:dyDescent="0.45">
      <c r="B539" s="15"/>
    </row>
    <row r="540" spans="2:2" x14ac:dyDescent="0.45">
      <c r="B540" s="15"/>
    </row>
    <row r="541" spans="2:2" x14ac:dyDescent="0.45">
      <c r="B541" s="15"/>
    </row>
    <row r="542" spans="2:2" x14ac:dyDescent="0.45">
      <c r="B542" s="15"/>
    </row>
    <row r="543" spans="2:2" x14ac:dyDescent="0.45">
      <c r="B543" s="15"/>
    </row>
    <row r="544" spans="2:2" x14ac:dyDescent="0.45">
      <c r="B544" s="15"/>
    </row>
    <row r="545" spans="2:2" x14ac:dyDescent="0.45">
      <c r="B545" s="15"/>
    </row>
    <row r="546" spans="2:2" x14ac:dyDescent="0.45">
      <c r="B546" s="15"/>
    </row>
    <row r="547" spans="2:2" x14ac:dyDescent="0.45">
      <c r="B547" s="15"/>
    </row>
    <row r="548" spans="2:2" x14ac:dyDescent="0.45">
      <c r="B548" s="15"/>
    </row>
    <row r="549" spans="2:2" x14ac:dyDescent="0.45">
      <c r="B549" s="15"/>
    </row>
    <row r="550" spans="2:2" x14ac:dyDescent="0.45">
      <c r="B550" s="15"/>
    </row>
    <row r="551" spans="2:2" x14ac:dyDescent="0.45">
      <c r="B551" s="15"/>
    </row>
    <row r="552" spans="2:2" x14ac:dyDescent="0.45">
      <c r="B552" s="15"/>
    </row>
    <row r="553" spans="2:2" x14ac:dyDescent="0.45">
      <c r="B553" s="15"/>
    </row>
    <row r="554" spans="2:2" x14ac:dyDescent="0.45">
      <c r="B554" s="15"/>
    </row>
    <row r="555" spans="2:2" x14ac:dyDescent="0.45">
      <c r="B555" s="15"/>
    </row>
    <row r="556" spans="2:2" x14ac:dyDescent="0.45">
      <c r="B556" s="15"/>
    </row>
    <row r="557" spans="2:2" x14ac:dyDescent="0.45">
      <c r="B557" s="15"/>
    </row>
    <row r="558" spans="2:2" x14ac:dyDescent="0.45">
      <c r="B558" s="15"/>
    </row>
    <row r="559" spans="2:2" x14ac:dyDescent="0.45">
      <c r="B559" s="15"/>
    </row>
    <row r="560" spans="2:2" x14ac:dyDescent="0.45">
      <c r="B560" s="15"/>
    </row>
    <row r="561" spans="2:2" x14ac:dyDescent="0.45">
      <c r="B561" s="15"/>
    </row>
  </sheetData>
  <sortState xmlns:xlrd2="http://schemas.microsoft.com/office/spreadsheetml/2017/richdata2" ref="A3:C517">
    <sortCondition ref="A3:A517"/>
  </sortState>
  <printOptions gridLines="1"/>
  <pageMargins left="0.7" right="0.7" top="0.75" bottom="0.75" header="0.3" footer="0.3"/>
  <pageSetup scale="56" fitToHeight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C12"/>
  <sheetViews>
    <sheetView workbookViewId="0"/>
  </sheetViews>
  <sheetFormatPr defaultColWidth="9.1328125" defaultRowHeight="14.25" x14ac:dyDescent="0.45"/>
  <cols>
    <col min="1" max="1" width="14.59765625" style="1" customWidth="1"/>
    <col min="2" max="2" width="37.3984375" style="1" customWidth="1"/>
    <col min="3" max="3" width="11.86328125" style="5" customWidth="1"/>
    <col min="4" max="16384" width="9.1328125" style="1"/>
  </cols>
  <sheetData>
    <row r="1" spans="1:3" x14ac:dyDescent="0.45">
      <c r="A1" s="3" t="s">
        <v>0</v>
      </c>
      <c r="B1" s="3" t="s">
        <v>2</v>
      </c>
      <c r="C1" s="4" t="s">
        <v>51</v>
      </c>
    </row>
    <row r="2" spans="1:3" x14ac:dyDescent="0.45">
      <c r="A2" s="2">
        <v>41301</v>
      </c>
      <c r="B2" s="1" t="s">
        <v>78</v>
      </c>
      <c r="C2" s="5">
        <v>-25.98</v>
      </c>
    </row>
    <row r="3" spans="1:3" x14ac:dyDescent="0.45">
      <c r="A3" s="2">
        <v>45001</v>
      </c>
      <c r="B3" s="1" t="s">
        <v>78</v>
      </c>
      <c r="C3" s="5">
        <v>-25.98</v>
      </c>
    </row>
    <row r="4" spans="1:3" x14ac:dyDescent="0.45">
      <c r="A4" s="2">
        <v>45032</v>
      </c>
      <c r="B4" s="1" t="s">
        <v>79</v>
      </c>
      <c r="C4" s="5">
        <v>-34.89</v>
      </c>
    </row>
    <row r="5" spans="1:3" x14ac:dyDescent="0.45">
      <c r="A5" s="2">
        <v>45094</v>
      </c>
      <c r="B5" s="1" t="s">
        <v>80</v>
      </c>
      <c r="C5" s="5">
        <v>-19.48</v>
      </c>
    </row>
    <row r="6" spans="1:3" x14ac:dyDescent="0.45">
      <c r="A6" s="2">
        <v>45117</v>
      </c>
      <c r="B6" s="1" t="s">
        <v>81</v>
      </c>
      <c r="C6" s="5">
        <v>-43.53</v>
      </c>
    </row>
    <row r="7" spans="1:3" x14ac:dyDescent="0.45">
      <c r="A7" s="2">
        <v>45188</v>
      </c>
      <c r="B7" s="1" t="s">
        <v>80</v>
      </c>
      <c r="C7" s="5">
        <v>-19.48</v>
      </c>
    </row>
    <row r="8" spans="1:3" x14ac:dyDescent="0.45">
      <c r="A8" s="2">
        <v>45203</v>
      </c>
      <c r="B8" s="1" t="s">
        <v>81</v>
      </c>
      <c r="C8" s="5">
        <v>-49.36</v>
      </c>
    </row>
    <row r="9" spans="1:3" x14ac:dyDescent="0.45">
      <c r="A9" s="2">
        <v>45217</v>
      </c>
      <c r="B9" s="1" t="s">
        <v>80</v>
      </c>
      <c r="C9" s="5">
        <v>-19.48</v>
      </c>
    </row>
    <row r="10" spans="1:3" x14ac:dyDescent="0.45">
      <c r="A10" s="2">
        <v>45247</v>
      </c>
      <c r="B10" s="1" t="s">
        <v>80</v>
      </c>
      <c r="C10" s="5">
        <v>-19.48</v>
      </c>
    </row>
    <row r="11" spans="1:3" x14ac:dyDescent="0.45">
      <c r="A11" s="2"/>
    </row>
    <row r="12" spans="1:3" x14ac:dyDescent="0.45">
      <c r="B12" s="3" t="s">
        <v>6</v>
      </c>
      <c r="C12" s="5">
        <f>SUM(C2:C11)</f>
        <v>-257.65999999999997</v>
      </c>
    </row>
  </sheetData>
  <printOptions gridLines="1"/>
  <pageMargins left="0.7" right="0.7" top="0.75" bottom="0.75" header="0.3" footer="0.3"/>
  <pageSetup scale="74" fitToHeight="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8"/>
  <sheetViews>
    <sheetView workbookViewId="0"/>
  </sheetViews>
  <sheetFormatPr defaultColWidth="9.265625" defaultRowHeight="14.25" x14ac:dyDescent="0.45"/>
  <cols>
    <col min="1" max="1" width="15.59765625" customWidth="1"/>
    <col min="2" max="2" width="43.59765625" customWidth="1"/>
    <col min="3" max="3" width="19" customWidth="1"/>
    <col min="4" max="4" width="17" customWidth="1"/>
    <col min="5" max="5" width="16.265625" style="1" customWidth="1"/>
    <col min="6" max="6" width="14.73046875" style="5" customWidth="1"/>
  </cols>
  <sheetData>
    <row r="1" spans="1:6" x14ac:dyDescent="0.45">
      <c r="A1" s="3" t="s">
        <v>0</v>
      </c>
      <c r="B1" s="3" t="s">
        <v>1</v>
      </c>
      <c r="C1" s="3" t="s">
        <v>16</v>
      </c>
      <c r="D1" s="4" t="s">
        <v>17</v>
      </c>
      <c r="E1" s="3" t="s">
        <v>53</v>
      </c>
      <c r="F1" s="4" t="s">
        <v>54</v>
      </c>
    </row>
    <row r="2" spans="1:6" x14ac:dyDescent="0.45">
      <c r="A2" s="7">
        <v>44958</v>
      </c>
      <c r="B2" s="8" t="s">
        <v>55</v>
      </c>
      <c r="C2" s="8" t="s">
        <v>52</v>
      </c>
      <c r="D2" s="9">
        <v>50</v>
      </c>
      <c r="E2" s="1">
        <v>0.65500000000000003</v>
      </c>
      <c r="F2" s="5">
        <f>D2*E2</f>
        <v>32.75</v>
      </c>
    </row>
    <row r="3" spans="1:6" x14ac:dyDescent="0.45">
      <c r="A3" s="7">
        <v>44971</v>
      </c>
      <c r="B3" s="8" t="s">
        <v>56</v>
      </c>
      <c r="C3" s="8" t="s">
        <v>69</v>
      </c>
      <c r="D3" s="9">
        <v>85</v>
      </c>
      <c r="E3" s="1">
        <v>0.65500000000000003</v>
      </c>
      <c r="F3" s="5">
        <f t="shared" ref="F3:F14" si="0">D3*E3</f>
        <v>55.675000000000004</v>
      </c>
    </row>
    <row r="4" spans="1:6" x14ac:dyDescent="0.45">
      <c r="A4" s="7">
        <v>44986</v>
      </c>
      <c r="B4" s="8" t="s">
        <v>57</v>
      </c>
      <c r="C4" s="1" t="s">
        <v>70</v>
      </c>
      <c r="D4" s="5">
        <v>52</v>
      </c>
      <c r="E4" s="1">
        <v>0.65500000000000003</v>
      </c>
      <c r="F4" s="5">
        <f t="shared" si="0"/>
        <v>34.06</v>
      </c>
    </row>
    <row r="5" spans="1:6" x14ac:dyDescent="0.45">
      <c r="A5" s="7">
        <v>45047</v>
      </c>
      <c r="B5" s="8" t="s">
        <v>58</v>
      </c>
      <c r="C5" s="1" t="s">
        <v>71</v>
      </c>
      <c r="D5" s="5">
        <v>51</v>
      </c>
      <c r="E5" s="1">
        <v>0.65500000000000003</v>
      </c>
      <c r="F5" s="5">
        <f t="shared" si="0"/>
        <v>33.405000000000001</v>
      </c>
    </row>
    <row r="6" spans="1:6" x14ac:dyDescent="0.45">
      <c r="A6" s="7">
        <v>45066</v>
      </c>
      <c r="B6" s="1" t="s">
        <v>65</v>
      </c>
      <c r="C6" s="1" t="s">
        <v>72</v>
      </c>
      <c r="D6" s="5">
        <v>42</v>
      </c>
      <c r="E6" s="1">
        <v>0.65500000000000003</v>
      </c>
      <c r="F6" s="5">
        <f t="shared" si="0"/>
        <v>27.51</v>
      </c>
    </row>
    <row r="7" spans="1:6" x14ac:dyDescent="0.45">
      <c r="A7" s="7">
        <v>45078</v>
      </c>
      <c r="B7" s="1" t="s">
        <v>59</v>
      </c>
      <c r="C7" s="8" t="s">
        <v>73</v>
      </c>
      <c r="D7" s="9">
        <v>3</v>
      </c>
      <c r="E7" s="1">
        <v>0.65500000000000003</v>
      </c>
      <c r="F7" s="5">
        <f t="shared" si="0"/>
        <v>1.9650000000000001</v>
      </c>
    </row>
    <row r="8" spans="1:6" x14ac:dyDescent="0.45">
      <c r="A8" s="7">
        <v>45108</v>
      </c>
      <c r="B8" s="1" t="s">
        <v>60</v>
      </c>
      <c r="C8" s="8" t="s">
        <v>52</v>
      </c>
      <c r="D8" s="9">
        <v>50</v>
      </c>
      <c r="E8" s="1">
        <v>0.65500000000000003</v>
      </c>
      <c r="F8" s="5">
        <f t="shared" si="0"/>
        <v>32.75</v>
      </c>
    </row>
    <row r="9" spans="1:6" x14ac:dyDescent="0.45">
      <c r="A9" s="7">
        <v>45139</v>
      </c>
      <c r="B9" s="1" t="s">
        <v>61</v>
      </c>
      <c r="C9" s="8" t="s">
        <v>74</v>
      </c>
      <c r="D9" s="9">
        <v>35</v>
      </c>
      <c r="E9" s="1">
        <v>0.65500000000000003</v>
      </c>
      <c r="F9" s="5">
        <f t="shared" si="0"/>
        <v>22.925000000000001</v>
      </c>
    </row>
    <row r="10" spans="1:6" x14ac:dyDescent="0.45">
      <c r="A10" s="7">
        <v>45148</v>
      </c>
      <c r="B10" s="1" t="s">
        <v>62</v>
      </c>
      <c r="C10" s="8" t="s">
        <v>18</v>
      </c>
      <c r="D10" s="9">
        <v>5</v>
      </c>
      <c r="E10" s="1">
        <v>0.65500000000000003</v>
      </c>
      <c r="F10" s="5">
        <f t="shared" si="0"/>
        <v>3.2750000000000004</v>
      </c>
    </row>
    <row r="11" spans="1:6" x14ac:dyDescent="0.45">
      <c r="A11" s="7">
        <v>45170</v>
      </c>
      <c r="B11" s="1" t="s">
        <v>63</v>
      </c>
      <c r="C11" s="8" t="s">
        <v>75</v>
      </c>
      <c r="D11" s="9">
        <v>14</v>
      </c>
      <c r="E11" s="1">
        <v>0.65500000000000003</v>
      </c>
      <c r="F11" s="5">
        <f t="shared" si="0"/>
        <v>9.17</v>
      </c>
    </row>
    <row r="12" spans="1:6" x14ac:dyDescent="0.45">
      <c r="A12" s="7">
        <v>45231</v>
      </c>
      <c r="B12" s="1" t="s">
        <v>64</v>
      </c>
      <c r="C12" s="8" t="s">
        <v>76</v>
      </c>
      <c r="D12" s="9">
        <v>52</v>
      </c>
      <c r="E12" s="1">
        <v>0.65500000000000003</v>
      </c>
      <c r="F12" s="5">
        <f t="shared" si="0"/>
        <v>34.06</v>
      </c>
    </row>
    <row r="13" spans="1:6" x14ac:dyDescent="0.45">
      <c r="A13" s="7">
        <v>45261</v>
      </c>
      <c r="B13" s="1" t="s">
        <v>66</v>
      </c>
      <c r="C13" s="8" t="s">
        <v>68</v>
      </c>
      <c r="D13" s="9">
        <v>19</v>
      </c>
      <c r="E13" s="1">
        <v>0.65500000000000003</v>
      </c>
      <c r="F13" s="5">
        <f t="shared" si="0"/>
        <v>12.445</v>
      </c>
    </row>
    <row r="14" spans="1:6" x14ac:dyDescent="0.45">
      <c r="A14" s="7">
        <v>45287</v>
      </c>
      <c r="B14" s="1" t="s">
        <v>67</v>
      </c>
      <c r="C14" s="8" t="s">
        <v>68</v>
      </c>
      <c r="D14" s="9">
        <v>19</v>
      </c>
      <c r="E14" s="1">
        <v>0.65500000000000003</v>
      </c>
      <c r="F14" s="5">
        <f t="shared" si="0"/>
        <v>12.445</v>
      </c>
    </row>
    <row r="15" spans="1:6" x14ac:dyDescent="0.45">
      <c r="A15" s="2"/>
      <c r="B15" s="1"/>
      <c r="C15" s="1"/>
      <c r="D15" s="5"/>
    </row>
    <row r="16" spans="1:6" x14ac:dyDescent="0.45">
      <c r="C16" s="3" t="s">
        <v>6</v>
      </c>
      <c r="D16" s="5">
        <f>SUM(D2:D15)</f>
        <v>477</v>
      </c>
      <c r="E16" s="5"/>
      <c r="F16" s="5">
        <f t="shared" ref="F16" si="1">SUM(F2:F15)</f>
        <v>312.435</v>
      </c>
    </row>
    <row r="18" spans="3:4" x14ac:dyDescent="0.45">
      <c r="C18" s="3"/>
      <c r="D18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15"/>
  <sheetViews>
    <sheetView workbookViewId="0"/>
  </sheetViews>
  <sheetFormatPr defaultColWidth="13" defaultRowHeight="14.25" x14ac:dyDescent="0.45"/>
  <cols>
    <col min="1" max="1" width="14.3984375" customWidth="1"/>
    <col min="2" max="2" width="26.1328125" customWidth="1"/>
  </cols>
  <sheetData>
    <row r="1" spans="1:3" x14ac:dyDescent="0.45">
      <c r="A1" s="3" t="s">
        <v>0</v>
      </c>
      <c r="B1" s="3" t="s">
        <v>1</v>
      </c>
      <c r="C1" s="4" t="s">
        <v>5</v>
      </c>
    </row>
    <row r="2" spans="1:3" x14ac:dyDescent="0.45">
      <c r="A2" s="2">
        <v>44927</v>
      </c>
      <c r="B2" s="1" t="s">
        <v>7</v>
      </c>
      <c r="C2" s="5">
        <v>70</v>
      </c>
    </row>
    <row r="3" spans="1:3" x14ac:dyDescent="0.45">
      <c r="A3" s="2">
        <v>44958</v>
      </c>
      <c r="B3" s="1" t="s">
        <v>7</v>
      </c>
      <c r="C3" s="5">
        <v>70</v>
      </c>
    </row>
    <row r="4" spans="1:3" x14ac:dyDescent="0.45">
      <c r="A4" s="2">
        <v>44986</v>
      </c>
      <c r="B4" s="1" t="s">
        <v>7</v>
      </c>
      <c r="C4" s="5">
        <v>70</v>
      </c>
    </row>
    <row r="5" spans="1:3" x14ac:dyDescent="0.45">
      <c r="A5" s="2">
        <v>45017</v>
      </c>
      <c r="B5" s="1" t="s">
        <v>7</v>
      </c>
      <c r="C5" s="5">
        <v>70</v>
      </c>
    </row>
    <row r="6" spans="1:3" x14ac:dyDescent="0.45">
      <c r="A6" s="2">
        <v>45047</v>
      </c>
      <c r="B6" s="1" t="s">
        <v>7</v>
      </c>
      <c r="C6" s="5">
        <v>70</v>
      </c>
    </row>
    <row r="7" spans="1:3" x14ac:dyDescent="0.45">
      <c r="A7" s="2">
        <v>45078</v>
      </c>
      <c r="B7" s="1" t="s">
        <v>7</v>
      </c>
      <c r="C7" s="5">
        <v>70</v>
      </c>
    </row>
    <row r="8" spans="1:3" x14ac:dyDescent="0.45">
      <c r="A8" s="2">
        <v>45108</v>
      </c>
      <c r="B8" s="1" t="s">
        <v>7</v>
      </c>
      <c r="C8" s="5">
        <v>70</v>
      </c>
    </row>
    <row r="9" spans="1:3" x14ac:dyDescent="0.45">
      <c r="A9" s="2">
        <v>45139</v>
      </c>
      <c r="B9" s="1" t="s">
        <v>7</v>
      </c>
      <c r="C9" s="5">
        <v>70</v>
      </c>
    </row>
    <row r="10" spans="1:3" x14ac:dyDescent="0.45">
      <c r="A10" s="2">
        <v>45170</v>
      </c>
      <c r="B10" s="1" t="s">
        <v>7</v>
      </c>
      <c r="C10" s="5">
        <v>70</v>
      </c>
    </row>
    <row r="11" spans="1:3" x14ac:dyDescent="0.45">
      <c r="A11" s="2">
        <v>45200</v>
      </c>
      <c r="B11" s="1" t="s">
        <v>7</v>
      </c>
      <c r="C11" s="5">
        <v>70</v>
      </c>
    </row>
    <row r="12" spans="1:3" x14ac:dyDescent="0.45">
      <c r="A12" s="2">
        <v>45231</v>
      </c>
      <c r="B12" s="1" t="s">
        <v>7</v>
      </c>
      <c r="C12" s="5">
        <v>70</v>
      </c>
    </row>
    <row r="13" spans="1:3" x14ac:dyDescent="0.45">
      <c r="A13" s="2">
        <v>45261</v>
      </c>
      <c r="B13" s="1" t="s">
        <v>7</v>
      </c>
      <c r="C13" s="5">
        <v>70</v>
      </c>
    </row>
    <row r="14" spans="1:3" x14ac:dyDescent="0.45">
      <c r="B14" s="1"/>
    </row>
    <row r="15" spans="1:3" x14ac:dyDescent="0.45">
      <c r="B15" s="3" t="s">
        <v>6</v>
      </c>
      <c r="C15" s="5">
        <f>SUM(C2:C13)</f>
        <v>840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5"/>
  <sheetViews>
    <sheetView workbookViewId="0"/>
  </sheetViews>
  <sheetFormatPr defaultRowHeight="14.25" x14ac:dyDescent="0.45"/>
  <cols>
    <col min="1" max="1" width="13.73046875" customWidth="1"/>
    <col min="2" max="2" width="34.3984375" customWidth="1"/>
    <col min="3" max="3" width="10.86328125" customWidth="1"/>
  </cols>
  <sheetData>
    <row r="1" spans="1:3" x14ac:dyDescent="0.45">
      <c r="A1" s="3" t="s">
        <v>0</v>
      </c>
      <c r="B1" s="3" t="s">
        <v>1</v>
      </c>
      <c r="C1" s="4" t="s">
        <v>5</v>
      </c>
    </row>
    <row r="2" spans="1:3" x14ac:dyDescent="0.45">
      <c r="A2" s="2">
        <v>44927</v>
      </c>
      <c r="B2" s="1" t="s">
        <v>8</v>
      </c>
      <c r="C2" s="5">
        <v>66</v>
      </c>
    </row>
    <row r="3" spans="1:3" x14ac:dyDescent="0.45">
      <c r="A3" s="2">
        <v>44958</v>
      </c>
      <c r="B3" s="1" t="s">
        <v>8</v>
      </c>
      <c r="C3" s="5">
        <v>66</v>
      </c>
    </row>
    <row r="4" spans="1:3" x14ac:dyDescent="0.45">
      <c r="A4" s="2">
        <v>44986</v>
      </c>
      <c r="B4" s="1" t="s">
        <v>8</v>
      </c>
      <c r="C4" s="5">
        <v>66</v>
      </c>
    </row>
    <row r="5" spans="1:3" x14ac:dyDescent="0.45">
      <c r="A5" s="2">
        <v>45017</v>
      </c>
      <c r="B5" s="1" t="s">
        <v>8</v>
      </c>
      <c r="C5" s="5">
        <v>66</v>
      </c>
    </row>
    <row r="6" spans="1:3" x14ac:dyDescent="0.45">
      <c r="A6" s="2">
        <v>45047</v>
      </c>
      <c r="B6" s="1" t="s">
        <v>8</v>
      </c>
      <c r="C6" s="5">
        <v>66</v>
      </c>
    </row>
    <row r="7" spans="1:3" x14ac:dyDescent="0.45">
      <c r="A7" s="2">
        <v>45078</v>
      </c>
      <c r="B7" s="1" t="s">
        <v>8</v>
      </c>
      <c r="C7" s="5">
        <v>66</v>
      </c>
    </row>
    <row r="8" spans="1:3" x14ac:dyDescent="0.45">
      <c r="A8" s="2">
        <v>45108</v>
      </c>
      <c r="B8" s="1" t="s">
        <v>8</v>
      </c>
      <c r="C8" s="5">
        <v>66</v>
      </c>
    </row>
    <row r="9" spans="1:3" x14ac:dyDescent="0.45">
      <c r="A9" s="2">
        <v>45139</v>
      </c>
      <c r="B9" s="1" t="s">
        <v>8</v>
      </c>
      <c r="C9" s="5">
        <v>66</v>
      </c>
    </row>
    <row r="10" spans="1:3" x14ac:dyDescent="0.45">
      <c r="A10" s="2">
        <v>45170</v>
      </c>
      <c r="B10" s="1" t="s">
        <v>8</v>
      </c>
      <c r="C10" s="5">
        <v>66</v>
      </c>
    </row>
    <row r="11" spans="1:3" x14ac:dyDescent="0.45">
      <c r="A11" s="2">
        <v>45200</v>
      </c>
      <c r="B11" s="1" t="s">
        <v>8</v>
      </c>
      <c r="C11" s="5">
        <v>66</v>
      </c>
    </row>
    <row r="12" spans="1:3" x14ac:dyDescent="0.45">
      <c r="A12" s="2">
        <v>45231</v>
      </c>
      <c r="B12" s="1" t="s">
        <v>8</v>
      </c>
      <c r="C12" s="5">
        <v>66</v>
      </c>
    </row>
    <row r="13" spans="1:3" x14ac:dyDescent="0.45">
      <c r="A13" s="2">
        <v>45261</v>
      </c>
      <c r="B13" s="1" t="s">
        <v>8</v>
      </c>
      <c r="C13" s="5">
        <v>66</v>
      </c>
    </row>
    <row r="14" spans="1:3" x14ac:dyDescent="0.45">
      <c r="A14" s="2"/>
      <c r="B14" s="1"/>
      <c r="C14" s="5"/>
    </row>
    <row r="15" spans="1:3" x14ac:dyDescent="0.45">
      <c r="B15" s="3" t="s">
        <v>6</v>
      </c>
      <c r="C15" s="5">
        <f>SUM(C2:C13)</f>
        <v>792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Total Expenses</vt:lpstr>
      <vt:lpstr>Items Bought for Resale</vt:lpstr>
      <vt:lpstr>eBay Store Fees</vt:lpstr>
      <vt:lpstr>eBay Selling Fees And Refunds</vt:lpstr>
      <vt:lpstr>Shipping costs</vt:lpstr>
      <vt:lpstr>Shipping supplies</vt:lpstr>
      <vt:lpstr>Mileage</vt:lpstr>
      <vt:lpstr>Internet</vt:lpstr>
      <vt:lpstr>Phone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Ludwig, Rob</dc:creator>
  <cp:lastModifiedBy>Ludwig, Robert</cp:lastModifiedBy>
  <cp:lastPrinted>2019-09-20T16:28:02Z</cp:lastPrinted>
  <dcterms:created xsi:type="dcterms:W3CDTF">2019-02-06T16:10:21Z</dcterms:created>
  <dcterms:modified xsi:type="dcterms:W3CDTF">2024-02-23T17:17:36Z</dcterms:modified>
</cp:coreProperties>
</file>